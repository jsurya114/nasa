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DAE735-2862-480F-941D-CC48E5389960}" xr6:coauthVersionLast="47" xr6:coauthVersionMax="47" xr10:uidLastSave="{00000000-0000-0000-0000-000000000000}"/>
  <bookViews>
    <workbookView xWindow="-120" yWindow="-120" windowWidth="20730" windowHeight="11040" xr2:uid="{001FD4A6-457F-4DA1-90B8-216CDA78A720}"/>
  </bookViews>
  <sheets>
    <sheet name="result" sheetId="1" r:id="rId1"/>
    <sheet name="Sheet2" sheetId="2" r:id="rId2"/>
  </sheets>
  <definedNames>
    <definedName name="_xlnm._FilterDatabase" localSheetId="1" hidden="1">Sheet2!$H$1:$M$112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2" i="2"/>
  <c r="H3" i="2"/>
  <c r="H4" i="2"/>
  <c r="H5" i="2"/>
  <c r="J5" i="2" s="1"/>
  <c r="H6" i="2"/>
  <c r="H7" i="2"/>
  <c r="H8" i="2"/>
  <c r="H9" i="2"/>
  <c r="J9" i="2" s="1"/>
  <c r="H10" i="2"/>
  <c r="H11" i="2"/>
  <c r="H12" i="2"/>
  <c r="H13" i="2"/>
  <c r="J13" i="2" s="1"/>
  <c r="H14" i="2"/>
  <c r="H15" i="2"/>
  <c r="H16" i="2"/>
  <c r="H17" i="2"/>
  <c r="J17" i="2" s="1"/>
  <c r="H18" i="2"/>
  <c r="H19" i="2"/>
  <c r="H20" i="2"/>
  <c r="H21" i="2"/>
  <c r="J21" i="2" s="1"/>
  <c r="H22" i="2"/>
  <c r="H23" i="2"/>
  <c r="H24" i="2"/>
  <c r="H25" i="2"/>
  <c r="J25" i="2" s="1"/>
  <c r="H26" i="2"/>
  <c r="H27" i="2"/>
  <c r="H28" i="2"/>
  <c r="H29" i="2"/>
  <c r="J29" i="2" s="1"/>
  <c r="H30" i="2"/>
  <c r="H31" i="2"/>
  <c r="H32" i="2"/>
  <c r="H33" i="2"/>
  <c r="J33" i="2" s="1"/>
  <c r="H34" i="2"/>
  <c r="H35" i="2"/>
  <c r="H36" i="2"/>
  <c r="H37" i="2"/>
  <c r="J37" i="2" s="1"/>
  <c r="H38" i="2"/>
  <c r="H39" i="2"/>
  <c r="H40" i="2"/>
  <c r="H41" i="2"/>
  <c r="J41" i="2" s="1"/>
  <c r="H42" i="2"/>
  <c r="H43" i="2"/>
  <c r="H44" i="2"/>
  <c r="H45" i="2"/>
  <c r="J45" i="2" s="1"/>
  <c r="H46" i="2"/>
  <c r="H47" i="2"/>
  <c r="H48" i="2"/>
  <c r="H49" i="2"/>
  <c r="J49" i="2" s="1"/>
  <c r="H50" i="2"/>
  <c r="H51" i="2"/>
  <c r="H52" i="2"/>
  <c r="H53" i="2"/>
  <c r="J53" i="2" s="1"/>
  <c r="H54" i="2"/>
  <c r="H55" i="2"/>
  <c r="H56" i="2"/>
  <c r="H57" i="2"/>
  <c r="J57" i="2" s="1"/>
  <c r="H58" i="2"/>
  <c r="H59" i="2"/>
  <c r="H60" i="2"/>
  <c r="H61" i="2"/>
  <c r="J61" i="2" s="1"/>
  <c r="H62" i="2"/>
  <c r="H63" i="2"/>
  <c r="H64" i="2"/>
  <c r="H65" i="2"/>
  <c r="J65" i="2" s="1"/>
  <c r="H66" i="2"/>
  <c r="H67" i="2"/>
  <c r="H68" i="2"/>
  <c r="H69" i="2"/>
  <c r="J69" i="2" s="1"/>
  <c r="H70" i="2"/>
  <c r="H71" i="2"/>
  <c r="H72" i="2"/>
  <c r="H73" i="2"/>
  <c r="J73" i="2" s="1"/>
  <c r="H74" i="2"/>
  <c r="H75" i="2"/>
  <c r="H76" i="2"/>
  <c r="H77" i="2"/>
  <c r="J77" i="2" s="1"/>
  <c r="H78" i="2"/>
  <c r="H79" i="2"/>
  <c r="H80" i="2"/>
  <c r="H81" i="2"/>
  <c r="J81" i="2" s="1"/>
  <c r="H82" i="2"/>
  <c r="H83" i="2"/>
  <c r="H84" i="2"/>
  <c r="H85" i="2"/>
  <c r="J85" i="2" s="1"/>
  <c r="H86" i="2"/>
  <c r="H87" i="2"/>
  <c r="H88" i="2"/>
  <c r="H89" i="2"/>
  <c r="J89" i="2" s="1"/>
  <c r="H90" i="2"/>
  <c r="H91" i="2"/>
  <c r="H92" i="2"/>
  <c r="H93" i="2"/>
  <c r="J93" i="2" s="1"/>
  <c r="H94" i="2"/>
  <c r="H95" i="2"/>
  <c r="H96" i="2"/>
  <c r="H97" i="2"/>
  <c r="J97" i="2" s="1"/>
  <c r="H98" i="2"/>
  <c r="H99" i="2"/>
  <c r="H100" i="2"/>
  <c r="H101" i="2"/>
  <c r="J101" i="2" s="1"/>
  <c r="H102" i="2"/>
  <c r="H103" i="2"/>
  <c r="H104" i="2"/>
  <c r="H105" i="2"/>
  <c r="J105" i="2" s="1"/>
  <c r="H106" i="2"/>
  <c r="H107" i="2"/>
  <c r="H108" i="2"/>
  <c r="H109" i="2"/>
  <c r="J109" i="2" s="1"/>
  <c r="H110" i="2"/>
  <c r="H111" i="2"/>
  <c r="H112" i="2"/>
  <c r="H2" i="2"/>
  <c r="J2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B3" i="2"/>
  <c r="B2" i="2"/>
  <c r="J111" i="2" l="1"/>
  <c r="J107" i="2"/>
  <c r="J103" i="2"/>
  <c r="J99" i="2"/>
  <c r="J95" i="2"/>
  <c r="J91" i="2"/>
  <c r="J87" i="2"/>
  <c r="J83" i="2"/>
  <c r="J79" i="2"/>
  <c r="J75" i="2"/>
  <c r="J71" i="2"/>
  <c r="J67" i="2"/>
  <c r="J63" i="2"/>
  <c r="J59" i="2"/>
  <c r="J55" i="2"/>
  <c r="J51" i="2"/>
  <c r="J47" i="2"/>
  <c r="J43" i="2"/>
  <c r="J39" i="2"/>
  <c r="J35" i="2"/>
  <c r="J31" i="2"/>
  <c r="J27" i="2"/>
  <c r="J23" i="2"/>
  <c r="J19" i="2"/>
  <c r="J15" i="2"/>
  <c r="J11" i="2"/>
  <c r="J7" i="2"/>
  <c r="J3" i="2"/>
  <c r="K3" i="2" s="1"/>
  <c r="L3" i="2" s="1"/>
  <c r="J6" i="2"/>
  <c r="K2" i="2"/>
  <c r="L2" i="2" s="1"/>
  <c r="J112" i="2"/>
  <c r="J108" i="2"/>
  <c r="J104" i="2"/>
  <c r="J100" i="2"/>
  <c r="J96" i="2"/>
  <c r="J92" i="2"/>
  <c r="J88" i="2"/>
  <c r="J84" i="2"/>
  <c r="J80" i="2"/>
  <c r="J76" i="2"/>
  <c r="J72" i="2"/>
  <c r="J68" i="2"/>
  <c r="J64" i="2"/>
  <c r="J60" i="2"/>
  <c r="J56" i="2"/>
  <c r="J52" i="2"/>
  <c r="J48" i="2"/>
  <c r="J44" i="2"/>
  <c r="J40" i="2"/>
  <c r="J36" i="2"/>
  <c r="J32" i="2"/>
  <c r="J28" i="2"/>
  <c r="J24" i="2"/>
  <c r="J20" i="2"/>
  <c r="J16" i="2"/>
  <c r="J12" i="2"/>
  <c r="J8" i="2"/>
  <c r="J4" i="2"/>
  <c r="K4" i="2" s="1"/>
  <c r="L4" i="2" s="1"/>
  <c r="J110" i="2"/>
  <c r="J106" i="2"/>
  <c r="J102" i="2"/>
  <c r="J98" i="2"/>
  <c r="J94" i="2"/>
  <c r="J90" i="2"/>
  <c r="J86" i="2"/>
  <c r="J82" i="2"/>
  <c r="J78" i="2"/>
  <c r="J74" i="2"/>
  <c r="J70" i="2"/>
  <c r="J66" i="2"/>
  <c r="J62" i="2"/>
  <c r="J58" i="2"/>
  <c r="J54" i="2"/>
  <c r="J50" i="2"/>
  <c r="J46" i="2"/>
  <c r="J42" i="2"/>
  <c r="J38" i="2"/>
  <c r="J34" i="2"/>
  <c r="J30" i="2"/>
  <c r="J26" i="2"/>
  <c r="J22" i="2"/>
  <c r="J18" i="2"/>
  <c r="J14" i="2"/>
  <c r="J10" i="2"/>
  <c r="K96" i="2" l="1"/>
  <c r="L96" i="2" s="1"/>
  <c r="K99" i="2"/>
  <c r="L99" i="2" s="1"/>
  <c r="K10" i="2"/>
  <c r="L10" i="2" s="1"/>
  <c r="K26" i="2"/>
  <c r="L26" i="2" s="1"/>
  <c r="K42" i="2"/>
  <c r="L42" i="2" s="1"/>
  <c r="K58" i="2"/>
  <c r="L58" i="2" s="1"/>
  <c r="K74" i="2"/>
  <c r="L74" i="2" s="1"/>
  <c r="K90" i="2"/>
  <c r="L90" i="2" s="1"/>
  <c r="K106" i="2"/>
  <c r="L106" i="2" s="1"/>
  <c r="K12" i="2"/>
  <c r="L12" i="2" s="1"/>
  <c r="K28" i="2"/>
  <c r="L28" i="2" s="1"/>
  <c r="K44" i="2"/>
  <c r="L44" i="2" s="1"/>
  <c r="K76" i="2"/>
  <c r="L76" i="2" s="1"/>
  <c r="K108" i="2"/>
  <c r="L108" i="2" s="1"/>
  <c r="K73" i="2"/>
  <c r="L73" i="2" s="1"/>
  <c r="K91" i="2"/>
  <c r="L91" i="2" s="1"/>
  <c r="K45" i="2"/>
  <c r="L45" i="2" s="1"/>
  <c r="K101" i="2"/>
  <c r="L101" i="2" s="1"/>
  <c r="K19" i="2"/>
  <c r="L19" i="2" s="1"/>
  <c r="K51" i="2"/>
  <c r="L51" i="2" s="1"/>
  <c r="K14" i="2"/>
  <c r="L14" i="2" s="1"/>
  <c r="K46" i="2"/>
  <c r="L46" i="2" s="1"/>
  <c r="K78" i="2"/>
  <c r="L78" i="2" s="1"/>
  <c r="K110" i="2"/>
  <c r="L110" i="2" s="1"/>
  <c r="K32" i="2"/>
  <c r="L32" i="2" s="1"/>
  <c r="K80" i="2"/>
  <c r="L80" i="2" s="1"/>
  <c r="K34" i="2"/>
  <c r="L34" i="2" s="1"/>
  <c r="K66" i="2"/>
  <c r="L66" i="2" s="1"/>
  <c r="K98" i="2"/>
  <c r="L98" i="2" s="1"/>
  <c r="K20" i="2"/>
  <c r="L20" i="2" s="1"/>
  <c r="K52" i="2"/>
  <c r="L52" i="2" s="1"/>
  <c r="K84" i="2"/>
  <c r="L84" i="2" s="1"/>
  <c r="K53" i="2"/>
  <c r="L53" i="2" s="1"/>
  <c r="K29" i="2"/>
  <c r="L29" i="2" s="1"/>
  <c r="K85" i="2"/>
  <c r="L85" i="2" s="1"/>
  <c r="K60" i="2"/>
  <c r="L60" i="2" s="1"/>
  <c r="K92" i="2"/>
  <c r="L92" i="2" s="1"/>
  <c r="K33" i="2"/>
  <c r="L33" i="2" s="1"/>
  <c r="K105" i="2"/>
  <c r="L105" i="2" s="1"/>
  <c r="K17" i="2"/>
  <c r="L17" i="2" s="1"/>
  <c r="K69" i="2"/>
  <c r="L69" i="2" s="1"/>
  <c r="K111" i="2"/>
  <c r="L111" i="2" s="1"/>
  <c r="K35" i="2"/>
  <c r="L35" i="2" s="1"/>
  <c r="K67" i="2"/>
  <c r="L67" i="2" s="1"/>
  <c r="K30" i="2"/>
  <c r="L30" i="2" s="1"/>
  <c r="K62" i="2"/>
  <c r="L62" i="2" s="1"/>
  <c r="K94" i="2"/>
  <c r="L94" i="2" s="1"/>
  <c r="K16" i="2"/>
  <c r="L16" i="2" s="1"/>
  <c r="K48" i="2"/>
  <c r="L48" i="2" s="1"/>
  <c r="K64" i="2"/>
  <c r="L64" i="2" s="1"/>
  <c r="K18" i="2"/>
  <c r="L18" i="2" s="1"/>
  <c r="K50" i="2"/>
  <c r="L50" i="2" s="1"/>
  <c r="K82" i="2"/>
  <c r="L82" i="2" s="1"/>
  <c r="K36" i="2"/>
  <c r="L36" i="2" s="1"/>
  <c r="K68" i="2"/>
  <c r="L68" i="2" s="1"/>
  <c r="K100" i="2"/>
  <c r="L100" i="2" s="1"/>
  <c r="K5" i="2"/>
  <c r="L5" i="2" s="1"/>
  <c r="K89" i="2"/>
  <c r="L89" i="2" s="1"/>
  <c r="K9" i="2"/>
  <c r="L9" i="2" s="1"/>
  <c r="K57" i="2"/>
  <c r="L57" i="2" s="1"/>
  <c r="K79" i="2"/>
  <c r="L79" i="2" s="1"/>
  <c r="K11" i="2"/>
  <c r="L11" i="2" s="1"/>
  <c r="K27" i="2"/>
  <c r="L27" i="2" s="1"/>
  <c r="K43" i="2"/>
  <c r="L43" i="2" s="1"/>
  <c r="K59" i="2"/>
  <c r="L59" i="2" s="1"/>
  <c r="K75" i="2"/>
  <c r="L75" i="2" s="1"/>
  <c r="K22" i="2"/>
  <c r="L22" i="2" s="1"/>
  <c r="K38" i="2"/>
  <c r="L38" i="2" s="1"/>
  <c r="K54" i="2"/>
  <c r="L54" i="2" s="1"/>
  <c r="K70" i="2"/>
  <c r="L70" i="2" s="1"/>
  <c r="K86" i="2"/>
  <c r="L86" i="2" s="1"/>
  <c r="K102" i="2"/>
  <c r="L102" i="2" s="1"/>
  <c r="K8" i="2"/>
  <c r="L8" i="2" s="1"/>
  <c r="K24" i="2"/>
  <c r="L24" i="2" s="1"/>
  <c r="K40" i="2"/>
  <c r="L40" i="2" s="1"/>
  <c r="K56" i="2"/>
  <c r="L56" i="2" s="1"/>
  <c r="K72" i="2"/>
  <c r="L72" i="2" s="1"/>
  <c r="K88" i="2"/>
  <c r="L88" i="2" s="1"/>
  <c r="K104" i="2"/>
  <c r="L104" i="2" s="1"/>
  <c r="K21" i="2"/>
  <c r="L21" i="2" s="1"/>
  <c r="K65" i="2"/>
  <c r="L65" i="2" s="1"/>
  <c r="K97" i="2"/>
  <c r="L97" i="2" s="1"/>
  <c r="K83" i="2"/>
  <c r="L83" i="2" s="1"/>
  <c r="K13" i="2"/>
  <c r="L13" i="2" s="1"/>
  <c r="K37" i="2"/>
  <c r="L37" i="2" s="1"/>
  <c r="K61" i="2"/>
  <c r="L61" i="2" s="1"/>
  <c r="K93" i="2"/>
  <c r="L93" i="2" s="1"/>
  <c r="K95" i="2"/>
  <c r="L95" i="2" s="1"/>
  <c r="K15" i="2"/>
  <c r="L15" i="2" s="1"/>
  <c r="K31" i="2"/>
  <c r="L31" i="2" s="1"/>
  <c r="K47" i="2"/>
  <c r="L47" i="2" s="1"/>
  <c r="K63" i="2"/>
  <c r="L63" i="2" s="1"/>
  <c r="K87" i="2"/>
  <c r="L87" i="2" s="1"/>
  <c r="K112" i="2"/>
  <c r="L112" i="2" s="1"/>
  <c r="K41" i="2"/>
  <c r="L41" i="2" s="1"/>
  <c r="K81" i="2"/>
  <c r="L81" i="2" s="1"/>
  <c r="K6" i="2"/>
  <c r="L6" i="2" s="1"/>
  <c r="K103" i="2"/>
  <c r="L103" i="2" s="1"/>
  <c r="K25" i="2"/>
  <c r="L25" i="2" s="1"/>
  <c r="K49" i="2"/>
  <c r="L49" i="2" s="1"/>
  <c r="K77" i="2"/>
  <c r="L77" i="2" s="1"/>
  <c r="K109" i="2"/>
  <c r="L109" i="2" s="1"/>
  <c r="K7" i="2"/>
  <c r="L7" i="2" s="1"/>
  <c r="K23" i="2"/>
  <c r="L23" i="2" s="1"/>
  <c r="K39" i="2"/>
  <c r="L39" i="2" s="1"/>
  <c r="K55" i="2"/>
  <c r="L55" i="2" s="1"/>
  <c r="K71" i="2"/>
  <c r="L71" i="2" s="1"/>
  <c r="K107" i="2"/>
  <c r="L107" i="2" s="1"/>
</calcChain>
</file>

<file path=xl/sharedStrings.xml><?xml version="1.0" encoding="utf-8"?>
<sst xmlns="http://schemas.openxmlformats.org/spreadsheetml/2006/main" count="2416" uniqueCount="750">
  <si>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</si>
  <si>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</si>
  <si>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</si>
  <si>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</si>
  <si>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</si>
  <si>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</si>
  <si>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</si>
  <si>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</si>
  <si>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</si>
  <si>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</si>
  <si>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</si>
  <si>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</si>
  <si>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</si>
  <si>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</si>
  <si>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</si>
  <si>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</si>
  <si>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</si>
  <si>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</si>
  <si>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</si>
  <si>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</si>
  <si>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</si>
  <si>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</si>
  <si>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</si>
  <si>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</si>
  <si>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mis-sort route</t>
  </si>
  <si>
    <t>mis-sort driver</t>
  </si>
  <si>
    <t>mis-sort driver fleet</t>
  </si>
  <si>
    <t>mis-sort time</t>
  </si>
  <si>
    <t>DFW</t>
  </si>
  <si>
    <t>1226-DFW 041 A-1</t>
  </si>
  <si>
    <t>83</t>
  </si>
  <si>
    <t>1344 Kathryn St,HURST,TX,76053-5209,USA</t>
  </si>
  <si>
    <t>76053</t>
  </si>
  <si>
    <t>SPXDFW088901282998</t>
  </si>
  <si>
    <t>Doug Bearden</t>
  </si>
  <si>
    <t>13147898070,7905#</t>
  </si>
  <si>
    <t>DELIVERED</t>
  </si>
  <si>
    <t>2025-12-26 11:32:35</t>
  </si>
  <si>
    <t>OZ</t>
  </si>
  <si>
    <t>DGD</t>
  </si>
  <si>
    <t>DFW Nasa Logistics Carrier</t>
  </si>
  <si>
    <t>Siva Kumar  yala</t>
  </si>
  <si>
    <t>RED</t>
  </si>
  <si>
    <t>TEMU_LAX</t>
  </si>
  <si>
    <t>2025-12-25</t>
  </si>
  <si>
    <t>2025-12-26</t>
  </si>
  <si>
    <t>3</t>
  </si>
  <si>
    <t>1408 Park Place Ave Apt 234,BEDFORD,TX,76022-5857,USA</t>
  </si>
  <si>
    <t>76022</t>
  </si>
  <si>
    <t>SPXDFW056812412866</t>
  </si>
  <si>
    <t>Gwen Keeton</t>
  </si>
  <si>
    <t>13149169346,9117#</t>
  </si>
  <si>
    <t>2025-12-26 07:12:21</t>
  </si>
  <si>
    <t>LB</t>
  </si>
  <si>
    <t>IGD</t>
  </si>
  <si>
    <t>ORANGE</t>
  </si>
  <si>
    <t>TEMU</t>
  </si>
  <si>
    <t>60</t>
  </si>
  <si>
    <t>531 Bedford Rd Apt 239,BEDFORD,TX,76022-6509,USA</t>
  </si>
  <si>
    <t>239</t>
  </si>
  <si>
    <t>SPXDFW088901173853</t>
  </si>
  <si>
    <t>Jacqueline Wilson</t>
  </si>
  <si>
    <t>13147560681,0991#</t>
  </si>
  <si>
    <t>2025-12-26 09:33:10</t>
  </si>
  <si>
    <t>58</t>
  </si>
  <si>
    <t>1220 Airport Fwy Ste G,BEDFORD,TX,76022-6765,USA</t>
  </si>
  <si>
    <t>G</t>
  </si>
  <si>
    <t>SPXDFW088901462556</t>
  </si>
  <si>
    <t>CJ Fraze</t>
  </si>
  <si>
    <t>12013659411,2454#</t>
  </si>
  <si>
    <t>2025-12-26 09:26:31</t>
  </si>
  <si>
    <t>91</t>
  </si>
  <si>
    <t>7621 EVERGREEN RD,Richland Hls,TX,76118,USA</t>
  </si>
  <si>
    <t>76118</t>
  </si>
  <si>
    <t>SPXDFW095400150435</t>
  </si>
  <si>
    <t>Djbeck Malone</t>
  </si>
  <si>
    <t>(+1)4255628187</t>
  </si>
  <si>
    <t>2025-12-26 10:57:55</t>
  </si>
  <si>
    <t>TikTok_DFW_HOU</t>
  </si>
  <si>
    <t>69</t>
  </si>
  <si>
    <t>641 W Cedar St,HURST,TX,76053,USA</t>
  </si>
  <si>
    <t>SPXDFW050800795576</t>
  </si>
  <si>
    <t>Stacy Garner</t>
  </si>
  <si>
    <t>8018608153</t>
  </si>
  <si>
    <t>2025-12-26 09:50:22</t>
  </si>
  <si>
    <t>WANBHK</t>
  </si>
  <si>
    <t>66</t>
  </si>
  <si>
    <t>413 Keren Pl,Hurst,TX,76053,USA</t>
  </si>
  <si>
    <t>SPXDFW110400133041</t>
  </si>
  <si>
    <t>Tina Fannin</t>
  </si>
  <si>
    <t>(+1)2142826697</t>
  </si>
  <si>
    <t>2025-12-26 09:44:53</t>
  </si>
  <si>
    <t>TikTok_DFW_STF</t>
  </si>
  <si>
    <t>62</t>
  </si>
  <si>
    <t>531 Bedford Rd 216,BEDFORD,TX,76022-6552,USA</t>
  </si>
  <si>
    <t>SPXDFW088901400713</t>
  </si>
  <si>
    <t>Ginann Cantu</t>
  </si>
  <si>
    <t>12013405673,4681#</t>
  </si>
  <si>
    <t>2025-12-26 09:34:39</t>
  </si>
  <si>
    <t>18</t>
  </si>
  <si>
    <t>600 BELLAIRE DR,Hurst,TX,76053,USA</t>
  </si>
  <si>
    <t>SPXDFW110400134510</t>
  </si>
  <si>
    <t>user9524293231266 Napoles</t>
  </si>
  <si>
    <t>(+1)7139139296</t>
  </si>
  <si>
    <t>2025-12-26 09:07:20</t>
  </si>
  <si>
    <t>64</t>
  </si>
  <si>
    <t>1433 Harrison lane,Hurst,TX,76053,USA</t>
  </si>
  <si>
    <t>SPXDFW089500533584</t>
  </si>
  <si>
    <t>Jessica Pollard</t>
  </si>
  <si>
    <t>8172472316</t>
  </si>
  <si>
    <t>2025-12-26 09:40:54</t>
  </si>
  <si>
    <t>LIUMAI_ORD</t>
  </si>
  <si>
    <t>72</t>
  </si>
  <si>
    <t>837 Wheelwood Dr,HURST,TX,76053-3868,USA</t>
  </si>
  <si>
    <t>SPXDFW056812623164</t>
  </si>
  <si>
    <t>Lorenzo Delgado</t>
  </si>
  <si>
    <t>13148200220,4147#</t>
  </si>
  <si>
    <t>2025-12-26 09:58:16</t>
  </si>
  <si>
    <t>68</t>
  </si>
  <si>
    <t>336 W Cheryl Ave,Hurst,TX,76053,USA</t>
  </si>
  <si>
    <t>SPXDFW095500036479</t>
  </si>
  <si>
    <t>Neil Moore</t>
  </si>
  <si>
    <t>(+1)9032290479</t>
  </si>
  <si>
    <t>2025-12-26 10:55:00</t>
  </si>
  <si>
    <t>TikTok_DFW_PAS</t>
  </si>
  <si>
    <t>112</t>
  </si>
  <si>
    <t>6324 Baker Blvd Apt H22,Richland Hls,TX,76118,USA</t>
  </si>
  <si>
    <t>H22</t>
  </si>
  <si>
    <t>SPXDFW095500036349</t>
  </si>
  <si>
    <t>Carla Rodríguez</t>
  </si>
  <si>
    <t>(+1)8177680982</t>
  </si>
  <si>
    <t>2025-12-26 11:41:52</t>
  </si>
  <si>
    <t>80</t>
  </si>
  <si>
    <t>309 FRAZIER DR,HURST,TX,76053-6371,USA</t>
  </si>
  <si>
    <t>SPXDFW050800688911</t>
  </si>
  <si>
    <t>Gail Carroll</t>
  </si>
  <si>
    <t>3463079643 ext. 36221</t>
  </si>
  <si>
    <t>2025-12-26 10:21:14</t>
  </si>
  <si>
    <t>44</t>
  </si>
  <si>
    <t>419 Harrison Ln,HURST,TX,76053-6717,USA</t>
  </si>
  <si>
    <t>SPXDFW056812204436</t>
  </si>
  <si>
    <t>Cheryl Ward</t>
  </si>
  <si>
    <t>13148044566,8197#</t>
  </si>
  <si>
    <t>2025-12-26 08:50:15</t>
  </si>
  <si>
    <t>88</t>
  </si>
  <si>
    <t>612 N BOOTH CALOWAY RD  Apt 1002,Hurst,TX,76053,USA</t>
  </si>
  <si>
    <t>1002</t>
  </si>
  <si>
    <t>SPXDFW061918245986</t>
  </si>
  <si>
    <t>Eric Gonzalez</t>
  </si>
  <si>
    <t>(+1)2147700480</t>
  </si>
  <si>
    <t>2025-12-26 11:59:09</t>
  </si>
  <si>
    <t>TIKTOKLAX</t>
  </si>
  <si>
    <t>41</t>
  </si>
  <si>
    <t>501 W Hurst Blvd Apt 330 ,Hurst,TX,76053,USA</t>
  </si>
  <si>
    <t>330</t>
  </si>
  <si>
    <t>SPXDFW061918223508</t>
  </si>
  <si>
    <t>Angela perry</t>
  </si>
  <si>
    <t>(+1)8174123828</t>
  </si>
  <si>
    <t>2025-12-26 09:43:06</t>
  </si>
  <si>
    <t>39</t>
  </si>
  <si>
    <t>412 ANDERSON DR,Hurst,TX,76053,USA</t>
  </si>
  <si>
    <t>SPXDFW079801848498</t>
  </si>
  <si>
    <t>Marilyn Joiner</t>
  </si>
  <si>
    <t>+1 817-230-9914</t>
  </si>
  <si>
    <t>2025-12-26 08:35:28</t>
  </si>
  <si>
    <t>D2A</t>
  </si>
  <si>
    <t>WINIT_ORD</t>
  </si>
  <si>
    <t>7</t>
  </si>
  <si>
    <t>1312 Donna Ln,Bedford,TX,76022,USA</t>
  </si>
  <si>
    <t>SPXDFW095400148216</t>
  </si>
  <si>
    <t xml:space="preserve">Rosa  Lopez </t>
  </si>
  <si>
    <t>(+1)8172268469</t>
  </si>
  <si>
    <t>2025-12-26 07:22:59</t>
  </si>
  <si>
    <t>4</t>
  </si>
  <si>
    <t>1436 Park Place Ave Apt 732 732,BEDFORD,TX,76022-5868,USA</t>
  </si>
  <si>
    <t>732</t>
  </si>
  <si>
    <t>SPXDFW088900990797</t>
  </si>
  <si>
    <t>Redeem Menga</t>
  </si>
  <si>
    <t>13146488470,4258#</t>
  </si>
  <si>
    <t>2025-12-26 07:13:55</t>
  </si>
  <si>
    <t>81</t>
  </si>
  <si>
    <t>1209 W Redbud Dr,HURST,TX,76053-5315,USA</t>
  </si>
  <si>
    <t>SPXDFW088900985755</t>
  </si>
  <si>
    <t>Amber Meyers</t>
  </si>
  <si>
    <t>13145977473,5751#</t>
  </si>
  <si>
    <t>2025-12-26 10:24:56</t>
  </si>
  <si>
    <t>109</t>
  </si>
  <si>
    <t>6601 Bridges Ave,RICHLAND HILLS,TX,76118-7208,USA</t>
  </si>
  <si>
    <t>SPXDFW056812308016</t>
  </si>
  <si>
    <t>Ginger Woods</t>
  </si>
  <si>
    <t>13148766630,3507#</t>
  </si>
  <si>
    <t>2025-12-26 12:42:53</t>
  </si>
  <si>
    <t>45</t>
  </si>
  <si>
    <t>508 HOLDER DR,HURST,TX,76053-6838,USA</t>
  </si>
  <si>
    <t>SPXDFW050800732114</t>
  </si>
  <si>
    <t>Johnny P. Oney</t>
  </si>
  <si>
    <t>4806185344 ext. 49257</t>
  </si>
  <si>
    <t>2025-12-26 09:58:02</t>
  </si>
  <si>
    <t>23</t>
  </si>
  <si>
    <t>2928 Garden Bluff Trail 1121,FORT WORTH,TX,76118,USA</t>
  </si>
  <si>
    <t>SPXDFW050800707724</t>
  </si>
  <si>
    <t>Arthur Davis</t>
  </si>
  <si>
    <t>2149686457</t>
  </si>
  <si>
    <t>2025-12-26 08:33:05</t>
  </si>
  <si>
    <t>107</t>
  </si>
  <si>
    <t>3447 Kingsbury Ave,Richland Hls,TX,76118,USA</t>
  </si>
  <si>
    <t>SPXDFW110400134772</t>
  </si>
  <si>
    <t>Derek Garibo</t>
  </si>
  <si>
    <t>(+1)6827022817</t>
  </si>
  <si>
    <t>2025-12-26 11:31:55</t>
  </si>
  <si>
    <t>101</t>
  </si>
  <si>
    <t>7445 tower st JAV 4217-4,RICHLAND HILLS,TX,76118-6425,USA</t>
  </si>
  <si>
    <t>SPXDFW088901478424</t>
  </si>
  <si>
    <t>angel gurung</t>
  </si>
  <si>
    <t>13147946790,3114#</t>
  </si>
  <si>
    <t>2025-12-26 11:20:06</t>
  </si>
  <si>
    <t>11</t>
  </si>
  <si>
    <t>3577 Valley Vista Drive Apt1207,HURST,TX,76053,USA</t>
  </si>
  <si>
    <t>1207</t>
  </si>
  <si>
    <t>SPXDFW088901529289</t>
  </si>
  <si>
    <t>Rayan Ahmed</t>
  </si>
  <si>
    <t>12013080673,0854#</t>
  </si>
  <si>
    <t>2025-12-26 07:40:21</t>
  </si>
  <si>
    <t>54</t>
  </si>
  <si>
    <t>1213 Dora St,Bedford,TX,76022,USA</t>
  </si>
  <si>
    <t>SPXDFW110400133098</t>
  </si>
  <si>
    <t>Darrell Ferguson</t>
  </si>
  <si>
    <t>(+1)8179963325</t>
  </si>
  <si>
    <t>2025-12-26 09:18:17</t>
  </si>
  <si>
    <t>40</t>
  </si>
  <si>
    <t>608 Woodside Dr,Hurst,TX,76053,USA</t>
  </si>
  <si>
    <t>SPXDFW095400150090</t>
  </si>
  <si>
    <t>Jonathan OHubbard</t>
  </si>
  <si>
    <t>(+1)2146001742</t>
  </si>
  <si>
    <t>2025-12-26 08:37:15</t>
  </si>
  <si>
    <t>86</t>
  </si>
  <si>
    <t>300 N Booth Calloway Rd 707,HURST,TX,76053-7200,USA</t>
  </si>
  <si>
    <t>SPXDFW056814868162</t>
  </si>
  <si>
    <t>Uberclain Cortez</t>
  </si>
  <si>
    <t>13149362072,1717#</t>
  </si>
  <si>
    <t>2025-12-26 10:44:55</t>
  </si>
  <si>
    <t>57</t>
  </si>
  <si>
    <t>1608 Wade Dr,BEDFORD,TX,76022,USA</t>
  </si>
  <si>
    <t>SPXDFW050800705030</t>
  </si>
  <si>
    <t>Renee Sheinin</t>
  </si>
  <si>
    <t>6824384702</t>
  </si>
  <si>
    <t>2025-12-26 10:28:31</t>
  </si>
  <si>
    <t>24</t>
  </si>
  <si>
    <t>2661 Stadium View Dr,FORT WORTH,TX,76118-2029,USA</t>
  </si>
  <si>
    <t>SPXDFW088901470353</t>
  </si>
  <si>
    <t>Manal Bahar</t>
  </si>
  <si>
    <t>13147898285,1487#</t>
  </si>
  <si>
    <t>2025-12-26 08:47:02</t>
  </si>
  <si>
    <t>10</t>
  </si>
  <si>
    <t>1629 Sotogrande Blvd 1005,HURST,TX,76053-8128,USA</t>
  </si>
  <si>
    <t>SPXDFW088901454868</t>
  </si>
  <si>
    <t>Miguel Angel Lopez REYES</t>
  </si>
  <si>
    <t>13145648735,2829#</t>
  </si>
  <si>
    <t>2025-12-26 07:35:43</t>
  </si>
  <si>
    <t>98</t>
  </si>
  <si>
    <t>7445 TOWER ST,Richland Hls,TX,76118,USA</t>
  </si>
  <si>
    <t>SPXDFW095400148709</t>
  </si>
  <si>
    <t>Keelan Vaughan XMYAOK</t>
  </si>
  <si>
    <t>(+1)8172015445</t>
  </si>
  <si>
    <t>2025-12-26 11:18:39</t>
  </si>
  <si>
    <t>5</t>
  </si>
  <si>
    <t>2348 Leafy Glen Ct,Bedford,TX,76022,USA</t>
  </si>
  <si>
    <t>SPXDFW095400149910</t>
  </si>
  <si>
    <t>Prabina Subedi</t>
  </si>
  <si>
    <t>(+1)4699554585</t>
  </si>
  <si>
    <t>2025-12-26 07:16:39</t>
  </si>
  <si>
    <t>89</t>
  </si>
  <si>
    <t>3811 Booth Calloway Rd,RICHLAND HILLS,TX,76118-5323,USA</t>
  </si>
  <si>
    <t>SPXDFW088901332093</t>
  </si>
  <si>
    <t>Carlye Whitsett</t>
  </si>
  <si>
    <t>13147427974,7253#</t>
  </si>
  <si>
    <t>2025-12-26 10:56:19</t>
  </si>
  <si>
    <t>104</t>
  </si>
  <si>
    <t>2811 Birch Park Dr,RICHLAND HILLS,TX,76118-6606,USA</t>
  </si>
  <si>
    <t>SPXDFW088901535349</t>
  </si>
  <si>
    <t>Marie Delafuente</t>
  </si>
  <si>
    <t>12014264774,7976#</t>
  </si>
  <si>
    <t>2025-12-26 11:25:26</t>
  </si>
  <si>
    <t>97</t>
  </si>
  <si>
    <t>7436 Evelyn Drive,RICHLAND HILLS,TX,76118,USA</t>
  </si>
  <si>
    <t>SPXDFW088901450295</t>
  </si>
  <si>
    <t>Loyce Greer</t>
  </si>
  <si>
    <t>12013790571,9103#</t>
  </si>
  <si>
    <t>2025-12-26 11:10:58</t>
  </si>
  <si>
    <t>70</t>
  </si>
  <si>
    <t>1500 Sylvan Dr Apt 119 ,Hurst,TX,76053,USA</t>
  </si>
  <si>
    <t>119</t>
  </si>
  <si>
    <t>SPXDFW061918226838</t>
  </si>
  <si>
    <t>Heriberto Ventura Ventura ramos</t>
  </si>
  <si>
    <t>(+1)2145415985</t>
  </si>
  <si>
    <t>2025-12-26 09:54:48</t>
  </si>
  <si>
    <t>63</t>
  </si>
  <si>
    <t>328 Bedford Rd Apt.314,BEDFORD,TX,76022,USA</t>
  </si>
  <si>
    <t>314</t>
  </si>
  <si>
    <t>SPXDFW088901464213</t>
  </si>
  <si>
    <t>william norman</t>
  </si>
  <si>
    <t>13145302238,8529#</t>
  </si>
  <si>
    <t>2025-12-26 09:38:02</t>
  </si>
  <si>
    <t>36</t>
  </si>
  <si>
    <t>8748 Trinity Vista Trl,Hurst,TX,76053,USA</t>
  </si>
  <si>
    <t>SPXDFW095400148592</t>
  </si>
  <si>
    <t>Kendra Suarez</t>
  </si>
  <si>
    <t>(+1)8177077499</t>
  </si>
  <si>
    <t>2025-12-26 08:27:23</t>
  </si>
  <si>
    <t>108</t>
  </si>
  <si>
    <t>6619 Bridges Ave,RICHLAND HILLS,TX,76118-7208,USA</t>
  </si>
  <si>
    <t>SPXDFW056812622077</t>
  </si>
  <si>
    <t>Nonette Barnes</t>
  </si>
  <si>
    <t>13149168818,3668#</t>
  </si>
  <si>
    <t>2025-12-26 12:38:35</t>
  </si>
  <si>
    <t>102</t>
  </si>
  <si>
    <t>7445 Tower Street AHT916-1,Richland Hills,TX,76118,USA</t>
  </si>
  <si>
    <t>SPXDFW095400148301</t>
  </si>
  <si>
    <t>Tari Fudge</t>
  </si>
  <si>
    <t>(+1)8172968716</t>
  </si>
  <si>
    <t>2025-12-26 11:20:24</t>
  </si>
  <si>
    <t>90</t>
  </si>
  <si>
    <t>3808 Booth Calloway Rd apt 709,RICHLAND HILLS,TX,76118-5374,USA</t>
  </si>
  <si>
    <t>709</t>
  </si>
  <si>
    <t>SPXDFW088901473616</t>
  </si>
  <si>
    <t>Lisa Eagan</t>
  </si>
  <si>
    <t>12013807466,2778#</t>
  </si>
  <si>
    <t>2025-12-26 10:54:25</t>
  </si>
  <si>
    <t>32</t>
  </si>
  <si>
    <t>8313 Bowspirit Ln,Hurst,TX,76053,USA</t>
  </si>
  <si>
    <t>SPXDFW095400147741</t>
  </si>
  <si>
    <t>Amanda Moreno</t>
  </si>
  <si>
    <t>(+1)8177091854</t>
  </si>
  <si>
    <t>2025-12-26 09:20:07</t>
  </si>
  <si>
    <t>25</t>
  </si>
  <si>
    <t>2832 Concho Trl,Fort Worth,TX,76118,USA</t>
  </si>
  <si>
    <t>SPXDFW110400134812</t>
  </si>
  <si>
    <t>Rodney Gundy</t>
  </si>
  <si>
    <t>(+1)8179082424</t>
  </si>
  <si>
    <t>2025-12-26 08:51:31</t>
  </si>
  <si>
    <t>65</t>
  </si>
  <si>
    <t>200 Bedford ct w,HURST,TX,76053,USA</t>
  </si>
  <si>
    <t>SPXDFW050800771827</t>
  </si>
  <si>
    <t>Christine Andrews</t>
  </si>
  <si>
    <t>8176144341</t>
  </si>
  <si>
    <t>2025-12-26 09:43:31</t>
  </si>
  <si>
    <t>46</t>
  </si>
  <si>
    <t>601 Brown Trl apt #215 building#3,HURST,TX,76053-5764,USA</t>
  </si>
  <si>
    <t>3-215</t>
  </si>
  <si>
    <t>SPXDFW088901471034</t>
  </si>
  <si>
    <t>unique w</t>
  </si>
  <si>
    <t>12013796604,3333#</t>
  </si>
  <si>
    <t>2025-12-26 08:55:33</t>
  </si>
  <si>
    <t>21</t>
  </si>
  <si>
    <t>612 E Ellen Ave,HURST,TX,76053-8007,USA</t>
  </si>
  <si>
    <t>SPXDFW088901473483</t>
  </si>
  <si>
    <t>Lisa Watson</t>
  </si>
  <si>
    <t>12013080308,1021#</t>
  </si>
  <si>
    <t>2025-12-26 08:17:12</t>
  </si>
  <si>
    <t>13</t>
  </si>
  <si>
    <t>456 ARWINE DR,HURST,TX,76053-7018,USA</t>
  </si>
  <si>
    <t>SPXDFW050800747971</t>
  </si>
  <si>
    <t>Monica Nash</t>
  </si>
  <si>
    <t>9294364790 ext. 22717</t>
  </si>
  <si>
    <t>2025-12-26 07:50:37</t>
  </si>
  <si>
    <t>110</t>
  </si>
  <si>
    <t>6533 Reeves St,Richland Hills,TX,76118,USA</t>
  </si>
  <si>
    <t>SPXDFW109200153280</t>
  </si>
  <si>
    <t>Seba Schuessler</t>
  </si>
  <si>
    <t>(+1)8174801590</t>
  </si>
  <si>
    <t>2025-12-26 11:36:07</t>
  </si>
  <si>
    <t>SF_KEX_LAX</t>
  </si>
  <si>
    <t>76</t>
  </si>
  <si>
    <t>933 Zelda Dr,Hurst,TX,76053,USA</t>
  </si>
  <si>
    <t>SPXDFW109200151162</t>
  </si>
  <si>
    <t>Cinia Medrano</t>
  </si>
  <si>
    <t>(+1)6826672380</t>
  </si>
  <si>
    <t>2025-12-26 11:15:21</t>
  </si>
  <si>
    <t>8</t>
  </si>
  <si>
    <t>1012 Boston Blvd,Bedford,TX,76022,USA</t>
  </si>
  <si>
    <t>SPXDFW079801842430</t>
  </si>
  <si>
    <t>Thomas Salinas</t>
  </si>
  <si>
    <t>+1 817-714-9312</t>
  </si>
  <si>
    <t>2025-12-26 07:27:11</t>
  </si>
  <si>
    <t>12</t>
  </si>
  <si>
    <t>1850 Sotogrande Blvd Apt 3003,HURST,TX,76053-8858,USA</t>
  </si>
  <si>
    <t>3003</t>
  </si>
  <si>
    <t>SPXDFW088901461197</t>
  </si>
  <si>
    <t>MOHAMED CHERIF BENANE</t>
  </si>
  <si>
    <t>13147428082,1075#</t>
  </si>
  <si>
    <t>2025-12-26 07:44:10</t>
  </si>
  <si>
    <t>22</t>
  </si>
  <si>
    <t>413 E Ellen Ave,HURST,TX,76053-8002,USA</t>
  </si>
  <si>
    <t>SPXDFW088901483522</t>
  </si>
  <si>
    <t>pat chavez</t>
  </si>
  <si>
    <t>13147560676,7436#</t>
  </si>
  <si>
    <t>2025-12-26 08:20:35</t>
  </si>
  <si>
    <t>16</t>
  </si>
  <si>
    <t>760 East Pecan Street,Hurst,TX,76053,USA</t>
  </si>
  <si>
    <t>SPXDFW079801844364</t>
  </si>
  <si>
    <t>Shannon Watson</t>
  </si>
  <si>
    <t>+1 817-789-2154</t>
  </si>
  <si>
    <t>2025-12-26 07:57:07</t>
  </si>
  <si>
    <t>106</t>
  </si>
  <si>
    <t>3311 Blue Jay Way,Richland Hills,TX,76118,USA</t>
  </si>
  <si>
    <t>SPXDFW109200145020</t>
  </si>
  <si>
    <t>Irene Gasarah</t>
  </si>
  <si>
    <t>+13125133157</t>
  </si>
  <si>
    <t>2025-12-26 11:29:47</t>
  </si>
  <si>
    <t>56</t>
  </si>
  <si>
    <t>613 Evandale Dr,Bedford,TX,76022,USA</t>
  </si>
  <si>
    <t>SPXDFW087006020010</t>
  </si>
  <si>
    <t>Michelle Risenhoover</t>
  </si>
  <si>
    <t>5122215491</t>
  </si>
  <si>
    <t>2025-12-26 09:22:45</t>
  </si>
  <si>
    <t>SHEIN_ORD</t>
  </si>
  <si>
    <t>61</t>
  </si>
  <si>
    <t>531 BEDFORD RD APT 239,Bedford,TX,76022-6509,USA</t>
  </si>
  <si>
    <t>SPXDFW101800715758</t>
  </si>
  <si>
    <t>Dreifus Buckner</t>
  </si>
  <si>
    <t>+1 210-728-4548 ext. 38555</t>
  </si>
  <si>
    <t>2025-12-26 09:33:31</t>
  </si>
  <si>
    <t>JD_ORD_WD</t>
  </si>
  <si>
    <t>6</t>
  </si>
  <si>
    <t>2016 SCHUMAC LN,Bedford,TX,76022,USA</t>
  </si>
  <si>
    <t>SPXDFW110400134595</t>
  </si>
  <si>
    <t>Lisa Hernandez</t>
  </si>
  <si>
    <t>(+1)9723575987</t>
  </si>
  <si>
    <t>2025-12-26 07:19:01</t>
  </si>
  <si>
    <t>78</t>
  </si>
  <si>
    <t>609 Ridgeline Dr,HURST,TX,76053,USA</t>
  </si>
  <si>
    <t>SPXDFW056812217964</t>
  </si>
  <si>
    <t>Shelby Redburn</t>
  </si>
  <si>
    <t>13148345174,3466#</t>
  </si>
  <si>
    <t>2025-12-26 10:13:40</t>
  </si>
  <si>
    <t>75</t>
  </si>
  <si>
    <t>1220 PRINCESS LN,Hurst,TX,76053,USA</t>
  </si>
  <si>
    <t>SPXDFW095400148660</t>
  </si>
  <si>
    <t>Mel schenck</t>
  </si>
  <si>
    <t>(+1)8176907572</t>
  </si>
  <si>
    <t>2025-12-26 10:06:15</t>
  </si>
  <si>
    <t>84</t>
  </si>
  <si>
    <t>3405 Jonette Dr,RICHLAND HILLS,TX,76118,USA</t>
  </si>
  <si>
    <t>SPXDFW088901162957</t>
  </si>
  <si>
    <t>Tina Hockaday</t>
  </si>
  <si>
    <t>12013796604,8412#</t>
  </si>
  <si>
    <t>2025-12-26 11:48:09</t>
  </si>
  <si>
    <t>38</t>
  </si>
  <si>
    <t>749 Cullum Avenue ,Hurst,TX,76053,USA</t>
  </si>
  <si>
    <t>SPXDFW061918222105</t>
  </si>
  <si>
    <t>ashton owens</t>
  </si>
  <si>
    <t>(+1)8172172939</t>
  </si>
  <si>
    <t>2025-12-26 08:33:57</t>
  </si>
  <si>
    <t>49</t>
  </si>
  <si>
    <t>365 E Pecan St Apt 174,Hurst,TX,76053,USA</t>
  </si>
  <si>
    <t>SPXDFW110400135746</t>
  </si>
  <si>
    <t>Ericka Arizmendi</t>
  </si>
  <si>
    <t>(+1)8177048825</t>
  </si>
  <si>
    <t>2025-12-26 10:05:27</t>
  </si>
  <si>
    <t>87</t>
  </si>
  <si>
    <t>1604 N Hills Blvd 5206,HURST,TX,76053-7232,USA</t>
  </si>
  <si>
    <t>SPXDFW088901171264</t>
  </si>
  <si>
    <t>paula moore</t>
  </si>
  <si>
    <t>12013792501,9581#</t>
  </si>
  <si>
    <t>2025-12-26 10:47:50</t>
  </si>
  <si>
    <t>35</t>
  </si>
  <si>
    <t>3228 Spring Crest Ct ,Hurst,TX,76053,USA</t>
  </si>
  <si>
    <t>SPXDFW061918225014</t>
  </si>
  <si>
    <t>Ashley Bridges</t>
  </si>
  <si>
    <t>(+1)8054075312</t>
  </si>
  <si>
    <t>2025-12-26 08:25:55</t>
  </si>
  <si>
    <t>29</t>
  </si>
  <si>
    <t>8725 Elbe Trl,FORT WORTH,TX,76118-7413,USA</t>
  </si>
  <si>
    <t>SPXDFW088901034089</t>
  </si>
  <si>
    <t>Erica Buffington</t>
  </si>
  <si>
    <t>12012318729,2769#</t>
  </si>
  <si>
    <t>2025-12-26 09:05:46</t>
  </si>
  <si>
    <t>20</t>
  </si>
  <si>
    <t>18 Dorothy Ln,HURST,TX,76053,USA</t>
  </si>
  <si>
    <t>SPXDFW050800752927</t>
  </si>
  <si>
    <t>connie delos santos</t>
  </si>
  <si>
    <t>8172333910</t>
  </si>
  <si>
    <t>2025-12-26 08:13:05</t>
  </si>
  <si>
    <t>15</t>
  </si>
  <si>
    <t>768 Shady Ln,Hurst,TX,76053,USA</t>
  </si>
  <si>
    <t>SPXDFW095400149710</t>
  </si>
  <si>
    <t>crystal schmidel</t>
  </si>
  <si>
    <t>(+1)8177620484</t>
  </si>
  <si>
    <t>2025-12-26 07:54:28</t>
  </si>
  <si>
    <t>95</t>
  </si>
  <si>
    <t>7240 Brooks Ave,RICHLAND HILLS,TX,76118-5838,USA</t>
  </si>
  <si>
    <t>SPXDFW088901247777</t>
  </si>
  <si>
    <t>Connie Mcfarlin</t>
  </si>
  <si>
    <t>13147428818,5745#</t>
  </si>
  <si>
    <t>2025-12-26 11:06:57</t>
  </si>
  <si>
    <t>67</t>
  </si>
  <si>
    <t>1037 Cavender Dr,HURST,TX,76053-5017,USA</t>
  </si>
  <si>
    <t>SPXDFW088901504571</t>
  </si>
  <si>
    <t>Jennifer Lucas</t>
  </si>
  <si>
    <t>12013657676,9284#</t>
  </si>
  <si>
    <t>2025-12-26 09:46:42</t>
  </si>
  <si>
    <t>50</t>
  </si>
  <si>
    <t>601 BROWN TRL  APT 346,Hurst,TX,76053,USA</t>
  </si>
  <si>
    <t>346</t>
  </si>
  <si>
    <t>SPXDFW061918220305</t>
  </si>
  <si>
    <t>Arianna Oneal</t>
  </si>
  <si>
    <t>(+1)6823088772</t>
  </si>
  <si>
    <t>2025-12-26 08:58:12</t>
  </si>
  <si>
    <t>47</t>
  </si>
  <si>
    <t>365 E Pecan St  Apt 8,Hurst,TX,76053,USA</t>
  </si>
  <si>
    <t>SPXDFW061918211379</t>
  </si>
  <si>
    <t>David Rios</t>
  </si>
  <si>
    <t>(+1)2147100005</t>
  </si>
  <si>
    <t>2025-12-26 09:04:00</t>
  </si>
  <si>
    <t>37</t>
  </si>
  <si>
    <t>764 Cullum Ave,HURST,TX,76053-6474,USA</t>
  </si>
  <si>
    <t>SPXDFW088901454703</t>
  </si>
  <si>
    <t>Brandy Mayes</t>
  </si>
  <si>
    <t>13147947416,9893#</t>
  </si>
  <si>
    <t>2025-12-26 08:33:10</t>
  </si>
  <si>
    <t>79</t>
  </si>
  <si>
    <t>509 Holly Hill Drive,Hurst,TX,76053,USA</t>
  </si>
  <si>
    <t>SPXDFW087006015399</t>
  </si>
  <si>
    <t>Shevenique Hill</t>
  </si>
  <si>
    <t>6827184592</t>
  </si>
  <si>
    <t>2025-12-26 10:17:30</t>
  </si>
  <si>
    <t>30</t>
  </si>
  <si>
    <t>2904 Genessee Ct,Fort Worth,TX,76118,USA</t>
  </si>
  <si>
    <t>SPXDFW079801842996</t>
  </si>
  <si>
    <t>Jebin Thomas</t>
  </si>
  <si>
    <t>+1 682-248-4484</t>
  </si>
  <si>
    <t>2025-12-26 09:14:04</t>
  </si>
  <si>
    <t>19</t>
  </si>
  <si>
    <t>600 Bellaire Dr Apt 12 ,Hurst,TX,76053,USA</t>
  </si>
  <si>
    <t>SPXDFW061918231624</t>
  </si>
  <si>
    <t>Cristina Cruz</t>
  </si>
  <si>
    <t>(+1)6823099281</t>
  </si>
  <si>
    <t>2025-12-26 08:04:54</t>
  </si>
  <si>
    <t>100</t>
  </si>
  <si>
    <t>7445 TOWER STREET ,FORT WORTH,TX,76118,USA</t>
  </si>
  <si>
    <t>SPXDFW108700024083</t>
  </si>
  <si>
    <t>LILIANA JARAMILLO XSJYOY</t>
  </si>
  <si>
    <t>9153301537</t>
  </si>
  <si>
    <t>2025-12-26 11:19:45</t>
  </si>
  <si>
    <t>iBundle_LAX</t>
  </si>
  <si>
    <t>42</t>
  </si>
  <si>
    <t>501 W Hurst Blvd 322,HURST,TX,76053-7709,USA</t>
  </si>
  <si>
    <t>SPXDFW088901515441</t>
  </si>
  <si>
    <t>Samuel Lee</t>
  </si>
  <si>
    <t>13147423042,9849#</t>
  </si>
  <si>
    <t>2025-12-26 09:48:45</t>
  </si>
  <si>
    <t>52</t>
  </si>
  <si>
    <t>104 E Plaza Blvd Apt 1077,Hurst,TX,76053,USA</t>
  </si>
  <si>
    <t>1077</t>
  </si>
  <si>
    <t>SPXDFW101800710783</t>
  </si>
  <si>
    <t>dre Fite</t>
  </si>
  <si>
    <t>(+1)4693357199</t>
  </si>
  <si>
    <t>2025-12-26 10:13:51</t>
  </si>
  <si>
    <t>105</t>
  </si>
  <si>
    <t>3013 Ash Park Dr,Richland Hills,TX,76118,USA</t>
  </si>
  <si>
    <t>SPXDFW095400148262</t>
  </si>
  <si>
    <t>Knottypine2023 Licce</t>
  </si>
  <si>
    <t>(+1)8172664645</t>
  </si>
  <si>
    <t>2025-12-26 11:27:15</t>
  </si>
  <si>
    <t>1</t>
  </si>
  <si>
    <t>2540 CENTRAL PARK BLVD APT 1531,BEDFORD,TX,76022-5829,USA</t>
  </si>
  <si>
    <t>1531</t>
  </si>
  <si>
    <t>SPXDFW109200147588</t>
  </si>
  <si>
    <t>Joe Siemer</t>
  </si>
  <si>
    <t>+1 415-419-8616  -  65303</t>
  </si>
  <si>
    <t>2025-12-26 07:09:21</t>
  </si>
  <si>
    <t>9</t>
  </si>
  <si>
    <t>1001 Monterrey Street,BEDFORD,TX,76022,USA</t>
  </si>
  <si>
    <t>SPXDFW050800663669</t>
  </si>
  <si>
    <t>Steven Chapman</t>
  </si>
  <si>
    <t>8175216060</t>
  </si>
  <si>
    <t>2025-12-26 07:30:08</t>
  </si>
  <si>
    <t>92</t>
  </si>
  <si>
    <t>3821 Granada Dr,RICHLAND HILLS,TX,76118-5309,USA</t>
  </si>
  <si>
    <t>SPXDFW056812096511</t>
  </si>
  <si>
    <t>Niko Colon</t>
  </si>
  <si>
    <t>13149365055,0683#</t>
  </si>
  <si>
    <t>2025-12-26 10:59:34</t>
  </si>
  <si>
    <t>55</t>
  </si>
  <si>
    <t>624 Merrill Drive,Bedford,TX,76022,USA</t>
  </si>
  <si>
    <t>SPXDFW101800717078</t>
  </si>
  <si>
    <t>Karen Hopper</t>
  </si>
  <si>
    <t>0000000000</t>
  </si>
  <si>
    <t>2025-12-26 09:21:10</t>
  </si>
  <si>
    <t>26</t>
  </si>
  <si>
    <t>9028 Stillwater Trl,FORT WORTH,TX,76118-7381,USA</t>
  </si>
  <si>
    <t>SPXDFW088901515565</t>
  </si>
  <si>
    <t>Stephanie White</t>
  </si>
  <si>
    <t>12013790882,1129#</t>
  </si>
  <si>
    <t>2025-12-26 08:55:53</t>
  </si>
  <si>
    <t>43</t>
  </si>
  <si>
    <t>109 CHARLENE DR.,HURST,TX,76053,USA</t>
  </si>
  <si>
    <t>SPXDFW109200147802</t>
  </si>
  <si>
    <t>STEPHEN D. BUTCHER</t>
  </si>
  <si>
    <t>+1 763-225-9463  -  41568</t>
  </si>
  <si>
    <t>2025-12-26 08:48:31</t>
  </si>
  <si>
    <t>111</t>
  </si>
  <si>
    <t>6324 Baker Blvd Apt D14,RICHLAND HILLS,TX,76118,USA</t>
  </si>
  <si>
    <t>D14</t>
  </si>
  <si>
    <t>SPXDFW079801843207</t>
  </si>
  <si>
    <t>Jesus Izaguirre</t>
  </si>
  <si>
    <t>+1 214-430-7470</t>
  </si>
  <si>
    <t>2025-12-26 11:39:37</t>
  </si>
  <si>
    <t>74</t>
  </si>
  <si>
    <t>825 W Bedford Euless Rd Apt 261,HURST,TX,76053-3897,USA</t>
  </si>
  <si>
    <t>261</t>
  </si>
  <si>
    <t>SPXDFW088901428974</t>
  </si>
  <si>
    <t>Carlos Pimentel</t>
  </si>
  <si>
    <t>13147895973,2311#</t>
  </si>
  <si>
    <t>2025-12-26 10:03:16</t>
  </si>
  <si>
    <t>28</t>
  </si>
  <si>
    <t>8808 Tyne Trl,Fort Worth,TX,76118,USA</t>
  </si>
  <si>
    <t>SPXDFW095400147801</t>
  </si>
  <si>
    <t>daynacrenshawmuno Munoz</t>
  </si>
  <si>
    <t>(+1)8176026223</t>
  </si>
  <si>
    <t>2025-12-26 09:00:30</t>
  </si>
  <si>
    <t>59</t>
  </si>
  <si>
    <t>1424 BROWN TRL STE A,BEDFORD,TX,76022-6400,USA</t>
  </si>
  <si>
    <t>A</t>
  </si>
  <si>
    <t>SPXDFW108300232965</t>
  </si>
  <si>
    <t>Ken Michael</t>
  </si>
  <si>
    <t>1415851913625936</t>
  </si>
  <si>
    <t>2025-12-26 09:31:18</t>
  </si>
  <si>
    <t>LIUMAI_ORD_VA</t>
  </si>
  <si>
    <t>27</t>
  </si>
  <si>
    <t>SPXDFW088901432677</t>
  </si>
  <si>
    <t>13146682117,9309#</t>
  </si>
  <si>
    <t>2025-12-26 08:56:20</t>
  </si>
  <si>
    <t>31</t>
  </si>
  <si>
    <t>8448 Bowspirit Ln,Hurst,TX,76053-7425,USA</t>
  </si>
  <si>
    <t>SPXDFW112000060286</t>
  </si>
  <si>
    <t>Tyla Aguilar</t>
  </si>
  <si>
    <t>8175076564</t>
  </si>
  <si>
    <t>2025-12-26 08:17:05</t>
  </si>
  <si>
    <t>TheShipIQ_ORD</t>
  </si>
  <si>
    <t>2</t>
  </si>
  <si>
    <t>2713 Parkview Ln Apt 523,Bedford,TX,76022,USA</t>
  </si>
  <si>
    <t>523</t>
  </si>
  <si>
    <t>SPXDFW095400150308</t>
  </si>
  <si>
    <t>Tonya Harper</t>
  </si>
  <si>
    <t>(+1)3044441391</t>
  </si>
  <si>
    <t>2025-12-26 07:05:24</t>
  </si>
  <si>
    <t>82</t>
  </si>
  <si>
    <t>332 BELMONT ST,Hurst,TX,76053,USA</t>
  </si>
  <si>
    <t>SPXDFW095400150055</t>
  </si>
  <si>
    <t>Nimat Babul</t>
  </si>
  <si>
    <t>(+1)2628256208</t>
  </si>
  <si>
    <t>2025-12-26 10:27:18</t>
  </si>
  <si>
    <t>73</t>
  </si>
  <si>
    <t>824 west bedford euless rd,HURST,TX,76053,USA</t>
  </si>
  <si>
    <t>SPXDFW088901220766</t>
  </si>
  <si>
    <t>khaalis poston</t>
  </si>
  <si>
    <t>12013471767,6691#</t>
  </si>
  <si>
    <t>2025-12-26 10:00:50</t>
  </si>
  <si>
    <t>53</t>
  </si>
  <si>
    <t>344 Patricia Ln,Bedford,TX,76022,USA</t>
  </si>
  <si>
    <t>SPXDFW087006005231</t>
  </si>
  <si>
    <t>Anasemon Bawy</t>
  </si>
  <si>
    <t>6824007221</t>
  </si>
  <si>
    <t>2025-12-26 09:16:00</t>
  </si>
  <si>
    <t>33</t>
  </si>
  <si>
    <t>3021 Trinity Lakes Dr,HURST,TX,76053-7458,USA</t>
  </si>
  <si>
    <t>SPXDFW056812119111</t>
  </si>
  <si>
    <t>Lisa Kiu</t>
  </si>
  <si>
    <t>13148868941,7034#</t>
  </si>
  <si>
    <t>2025-12-26 09:24:42</t>
  </si>
  <si>
    <t>85</t>
  </si>
  <si>
    <t>300 N Booth Caloway Rd Apt 305,Hurst,TX,76053,USA</t>
  </si>
  <si>
    <t>305</t>
  </si>
  <si>
    <t>SPXDFW095500036495</t>
  </si>
  <si>
    <t>Erika Mendoza</t>
  </si>
  <si>
    <t>(+1)6824452552</t>
  </si>
  <si>
    <t>2025-12-26 10:43:29</t>
  </si>
  <si>
    <t>34</t>
  </si>
  <si>
    <t>8365 Edgepoint Trl,HURST,TX,76053-7448,USA</t>
  </si>
  <si>
    <t>SPXDFW056812201805</t>
  </si>
  <si>
    <t>Riki Russell</t>
  </si>
  <si>
    <t>13149121729,3319#</t>
  </si>
  <si>
    <t>2025-12-26 08:22:47</t>
  </si>
  <si>
    <t>17</t>
  </si>
  <si>
    <t>781. E. pecan st Apt 155,HURST,TX,76053,USA</t>
  </si>
  <si>
    <t>155</t>
  </si>
  <si>
    <t>SPXDFW088901448567</t>
  </si>
  <si>
    <t>milagro campos</t>
  </si>
  <si>
    <t>13147428810,5550#</t>
  </si>
  <si>
    <t>2025-12-26 08:00:49</t>
  </si>
  <si>
    <t>77</t>
  </si>
  <si>
    <t>610 Timberline Dr,HURST,TX,76053-4735,USA</t>
  </si>
  <si>
    <t>SPXDFW088901426108</t>
  </si>
  <si>
    <t>Anthony Palumbo</t>
  </si>
  <si>
    <t>13146619494,9526#</t>
  </si>
  <si>
    <t>2025-12-26 10:11:58</t>
  </si>
  <si>
    <t>99</t>
  </si>
  <si>
    <t>7445 tower st LYC 3122,RICHLAND HILLS,TX,76118-6425,USA</t>
  </si>
  <si>
    <t>SPXDFW088900977745</t>
  </si>
  <si>
    <t>Maressa Quirino</t>
  </si>
  <si>
    <t>13146362111,5678#</t>
  </si>
  <si>
    <t>2025-12-26 11:18:56</t>
  </si>
  <si>
    <t>94</t>
  </si>
  <si>
    <t>3662 Popplewell St,RICHLAND HILLS,TX,76118-5114,USA</t>
  </si>
  <si>
    <t>SPXDFW056812177192</t>
  </si>
  <si>
    <t>Rebecca Aguirre</t>
  </si>
  <si>
    <t>13149483075,8042#</t>
  </si>
  <si>
    <t>2025-12-26 11:04:48</t>
  </si>
  <si>
    <t>48</t>
  </si>
  <si>
    <t>365 E Pecan St Apt 165 ,Hurst,TX,76053,USA</t>
  </si>
  <si>
    <t>165</t>
  </si>
  <si>
    <t>SPXDFW061918239610</t>
  </si>
  <si>
    <t>Lucie Kayumba</t>
  </si>
  <si>
    <t>(+1)2144406643</t>
  </si>
  <si>
    <t>2025-12-26 10:02:21</t>
  </si>
  <si>
    <t>93</t>
  </si>
  <si>
    <t>7126 BOOTH PL,Richland Hills,TX,76118,USA</t>
  </si>
  <si>
    <t>SPXDFW095400148819</t>
  </si>
  <si>
    <t>Larissa Standiford</t>
  </si>
  <si>
    <t>(+1)8178187271</t>
  </si>
  <si>
    <t>2025-12-26 11:03:00</t>
  </si>
  <si>
    <t>14</t>
  </si>
  <si>
    <t>SPXDFW095400150165</t>
  </si>
  <si>
    <t>2025-12-26 07:53:56</t>
  </si>
  <si>
    <t>51</t>
  </si>
  <si>
    <t>228 OAK DR E,HURST,TX,76053,USA</t>
  </si>
  <si>
    <t>SPXDFW109200127368</t>
  </si>
  <si>
    <t>Araceli Benavides</t>
  </si>
  <si>
    <t>(+1)8179024524</t>
  </si>
  <si>
    <t>2025-12-26 09:10:59</t>
  </si>
  <si>
    <t>103</t>
  </si>
  <si>
    <t>7135 Oak Park Dr,RICHLAND HILLS,TX,76118-6428,USA</t>
  </si>
  <si>
    <t>SPXDFW056812612495</t>
  </si>
  <si>
    <t>Elsie Mattox</t>
  </si>
  <si>
    <t>13149476301,1887#</t>
  </si>
  <si>
    <t>2025-12-26 11:24:03</t>
  </si>
  <si>
    <t>96</t>
  </si>
  <si>
    <t>7428 Evelyn Dr,RICHLAND HILLS,TX,76118-5933,USA</t>
  </si>
  <si>
    <t>SPXDFW088901484376</t>
  </si>
  <si>
    <t>gerald wall</t>
  </si>
  <si>
    <t>13147428487,3726#</t>
  </si>
  <si>
    <t>NEW</t>
  </si>
  <si>
    <t>2025-12-24 23:09:20</t>
  </si>
  <si>
    <t>address</t>
  </si>
  <si>
    <t>Count</t>
  </si>
  <si>
    <t>Trimmed</t>
  </si>
  <si>
    <t>Unique</t>
  </si>
  <si>
    <t>Occurrence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</si>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</sst>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name val="宋体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9B6A-C53C-444C-BA3D-9FDF57CAAEE2}">
  <dimension ref="A1:AB112"/>
  <sheetViews>
    <sheetView tabSelected="1" workbookViewId="0">
      <selection activeCell="D11" sqref="D11"/>
    </sheetView>
  </sheetViews>
  <sheetFormatPr defaultColWidth="9.5703125" defaultRowHeight="15"/>
  <cols>
    <col min="1" max="1" width="6" bestFit="1" customWidth="1"/>
    <col min="2" max="2" width="16.85546875" bestFit="1" customWidth="1"/>
    <col min="3" max="3" width="9.140625" bestFit="1" customWidth="1"/>
    <col min="4" max="4" width="62" bestFit="1" customWidth="1"/>
    <col min="5" max="5" width="7.5703125" bestFit="1" customWidth="1"/>
    <col min="6" max="6" width="9.140625" bestFit="1" customWidth="1"/>
    <col min="7" max="7" width="20.7109375" bestFit="1" customWidth="1"/>
    <col min="8" max="8" width="31.28515625" bestFit="1" customWidth="1"/>
    <col min="9" max="9" width="24.5703125" bestFit="1" customWidth="1"/>
    <col min="10" max="11" width="10.42578125" bestFit="1" customWidth="1"/>
    <col min="12" max="12" width="18.28515625" bestFit="1" customWidth="1"/>
    <col min="13" max="16" width="9.140625" bestFit="1" customWidth="1"/>
    <col min="17" max="17" width="24.5703125" bestFit="1" customWidth="1"/>
    <col min="18" max="18" width="15.28515625" bestFit="1" customWidth="1"/>
    <col min="19" max="21" width="9.140625" bestFit="1" customWidth="1"/>
    <col min="22" max="22" width="17" bestFit="1" customWidth="1"/>
    <col min="23" max="24" width="10.42578125" bestFit="1" customWidth="1"/>
    <col min="25" max="27" width="9.140625" bestFit="1" customWidth="1"/>
    <col min="28" max="28" width="7.5703125" bestFit="1" customWidth="1"/>
  </cols>
  <sheetData>
    <row r="1" spans="1:28" ht="9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4" t="s">
        <v>31</v>
      </c>
      <c r="E2" s="2"/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36</v>
      </c>
      <c r="L2" s="2" t="s">
        <v>37</v>
      </c>
      <c r="M2" s="2">
        <v>0.04</v>
      </c>
      <c r="N2" s="2" t="s">
        <v>38</v>
      </c>
      <c r="O2" s="2" t="s">
        <v>39</v>
      </c>
      <c r="P2" s="2" t="s">
        <v>28</v>
      </c>
      <c r="Q2" s="2" t="s">
        <v>40</v>
      </c>
      <c r="R2" s="2" t="s">
        <v>41</v>
      </c>
      <c r="S2" s="2" t="s">
        <v>42</v>
      </c>
      <c r="T2" s="2">
        <v>84</v>
      </c>
      <c r="U2" s="2">
        <v>889</v>
      </c>
      <c r="V2" s="2" t="s">
        <v>43</v>
      </c>
      <c r="W2" s="2" t="s">
        <v>44</v>
      </c>
      <c r="X2" s="2" t="s">
        <v>45</v>
      </c>
      <c r="Y2" s="2"/>
      <c r="Z2" s="2"/>
      <c r="AA2" s="2"/>
      <c r="AB2" s="2"/>
    </row>
    <row r="3" spans="1:28">
      <c r="A3" s="2" t="s">
        <v>28</v>
      </c>
      <c r="B3" s="2" t="s">
        <v>29</v>
      </c>
      <c r="C3" s="2" t="s">
        <v>46</v>
      </c>
      <c r="D3" s="2" t="s">
        <v>47</v>
      </c>
      <c r="E3" s="2"/>
      <c r="F3" s="2" t="s">
        <v>48</v>
      </c>
      <c r="G3" s="2" t="s">
        <v>49</v>
      </c>
      <c r="H3" s="2" t="s">
        <v>50</v>
      </c>
      <c r="I3" s="2" t="s">
        <v>51</v>
      </c>
      <c r="J3" s="2" t="s">
        <v>36</v>
      </c>
      <c r="K3" s="2" t="s">
        <v>36</v>
      </c>
      <c r="L3" s="2" t="s">
        <v>52</v>
      </c>
      <c r="M3" s="2">
        <v>6.0049999999999999</v>
      </c>
      <c r="N3" s="2" t="s">
        <v>53</v>
      </c>
      <c r="O3" s="2" t="s">
        <v>54</v>
      </c>
      <c r="P3" s="2" t="s">
        <v>28</v>
      </c>
      <c r="Q3" s="2" t="s">
        <v>40</v>
      </c>
      <c r="R3" s="2" t="s">
        <v>41</v>
      </c>
      <c r="S3" s="2" t="s">
        <v>55</v>
      </c>
      <c r="T3" s="2">
        <v>35</v>
      </c>
      <c r="U3" s="2">
        <v>568</v>
      </c>
      <c r="V3" s="2" t="s">
        <v>56</v>
      </c>
      <c r="W3" s="2" t="s">
        <v>44</v>
      </c>
      <c r="X3" s="2" t="s">
        <v>45</v>
      </c>
      <c r="Y3" s="2"/>
      <c r="Z3" s="2"/>
      <c r="AA3" s="2"/>
      <c r="AB3" s="2"/>
    </row>
    <row r="4" spans="1:28">
      <c r="A4" s="2" t="s">
        <v>28</v>
      </c>
      <c r="B4" s="2" t="s">
        <v>29</v>
      </c>
      <c r="C4" s="2" t="s">
        <v>57</v>
      </c>
      <c r="D4" s="2" t="s">
        <v>58</v>
      </c>
      <c r="E4" s="2" t="s">
        <v>59</v>
      </c>
      <c r="F4" s="2" t="s">
        <v>48</v>
      </c>
      <c r="G4" s="2" t="s">
        <v>60</v>
      </c>
      <c r="H4" s="2" t="s">
        <v>61</v>
      </c>
      <c r="I4" s="2" t="s">
        <v>62</v>
      </c>
      <c r="J4" s="2" t="s">
        <v>36</v>
      </c>
      <c r="K4" s="2" t="s">
        <v>36</v>
      </c>
      <c r="L4" s="2" t="s">
        <v>63</v>
      </c>
      <c r="M4" s="2">
        <v>0.4</v>
      </c>
      <c r="N4" s="2" t="s">
        <v>38</v>
      </c>
      <c r="O4" s="2" t="s">
        <v>39</v>
      </c>
      <c r="P4" s="2" t="s">
        <v>28</v>
      </c>
      <c r="Q4" s="2" t="s">
        <v>40</v>
      </c>
      <c r="R4" s="2" t="s">
        <v>41</v>
      </c>
      <c r="S4" s="2" t="s">
        <v>42</v>
      </c>
      <c r="T4" s="2">
        <v>84</v>
      </c>
      <c r="U4" s="2">
        <v>889</v>
      </c>
      <c r="V4" s="2" t="s">
        <v>43</v>
      </c>
      <c r="W4" s="2" t="s">
        <v>44</v>
      </c>
      <c r="X4" s="2" t="s">
        <v>45</v>
      </c>
      <c r="Y4" s="2"/>
      <c r="Z4" s="2"/>
      <c r="AA4" s="2"/>
      <c r="AB4" s="2"/>
    </row>
    <row r="5" spans="1:28">
      <c r="A5" s="2" t="s">
        <v>28</v>
      </c>
      <c r="B5" s="2" t="s">
        <v>29</v>
      </c>
      <c r="C5" s="2" t="s">
        <v>64</v>
      </c>
      <c r="D5" s="2" t="s">
        <v>65</v>
      </c>
      <c r="E5" s="2" t="s">
        <v>66</v>
      </c>
      <c r="F5" s="2" t="s">
        <v>48</v>
      </c>
      <c r="G5" s="2" t="s">
        <v>67</v>
      </c>
      <c r="H5" s="2" t="s">
        <v>68</v>
      </c>
      <c r="I5" s="2" t="s">
        <v>69</v>
      </c>
      <c r="J5" s="2" t="s">
        <v>36</v>
      </c>
      <c r="K5" s="2" t="s">
        <v>36</v>
      </c>
      <c r="L5" s="2" t="s">
        <v>70</v>
      </c>
      <c r="M5" s="2">
        <v>0.5</v>
      </c>
      <c r="N5" s="2" t="s">
        <v>38</v>
      </c>
      <c r="O5" s="2" t="s">
        <v>39</v>
      </c>
      <c r="P5" s="2" t="s">
        <v>28</v>
      </c>
      <c r="Q5" s="2" t="s">
        <v>40</v>
      </c>
      <c r="R5" s="2" t="s">
        <v>41</v>
      </c>
      <c r="S5" s="2" t="s">
        <v>42</v>
      </c>
      <c r="T5" s="2">
        <v>83</v>
      </c>
      <c r="U5" s="2">
        <v>889</v>
      </c>
      <c r="V5" s="2" t="s">
        <v>43</v>
      </c>
      <c r="W5" s="2" t="s">
        <v>44</v>
      </c>
      <c r="X5" s="2" t="s">
        <v>45</v>
      </c>
      <c r="Y5" s="2"/>
      <c r="Z5" s="2"/>
      <c r="AA5" s="2"/>
      <c r="AB5" s="2"/>
    </row>
    <row r="6" spans="1:28">
      <c r="A6" s="2" t="s">
        <v>28</v>
      </c>
      <c r="B6" s="2" t="s">
        <v>29</v>
      </c>
      <c r="C6" s="2" t="s">
        <v>71</v>
      </c>
      <c r="D6" s="2" t="s">
        <v>72</v>
      </c>
      <c r="E6" s="2"/>
      <c r="F6" s="2" t="s">
        <v>73</v>
      </c>
      <c r="G6" s="2" t="s">
        <v>74</v>
      </c>
      <c r="H6" s="2" t="s">
        <v>75</v>
      </c>
      <c r="I6" s="2" t="s">
        <v>76</v>
      </c>
      <c r="J6" s="2" t="s">
        <v>36</v>
      </c>
      <c r="K6" s="2" t="s">
        <v>36</v>
      </c>
      <c r="L6" s="2" t="s">
        <v>77</v>
      </c>
      <c r="M6" s="2">
        <v>0.21</v>
      </c>
      <c r="N6" s="2" t="s">
        <v>38</v>
      </c>
      <c r="O6" s="2" t="s">
        <v>39</v>
      </c>
      <c r="P6" s="2" t="s">
        <v>28</v>
      </c>
      <c r="Q6" s="2" t="s">
        <v>40</v>
      </c>
      <c r="R6" s="2" t="s">
        <v>41</v>
      </c>
      <c r="S6" s="2" t="s">
        <v>55</v>
      </c>
      <c r="T6" s="2">
        <v>43</v>
      </c>
      <c r="U6" s="2">
        <v>954</v>
      </c>
      <c r="V6" s="2" t="s">
        <v>78</v>
      </c>
      <c r="W6" s="2" t="s">
        <v>44</v>
      </c>
      <c r="X6" s="2" t="s">
        <v>45</v>
      </c>
      <c r="Y6" s="2"/>
      <c r="Z6" s="2"/>
      <c r="AA6" s="2"/>
      <c r="AB6" s="2"/>
    </row>
    <row r="7" spans="1:28">
      <c r="A7" s="2" t="s">
        <v>28</v>
      </c>
      <c r="B7" s="2" t="s">
        <v>29</v>
      </c>
      <c r="C7" s="2" t="s">
        <v>79</v>
      </c>
      <c r="D7" s="2" t="s">
        <v>80</v>
      </c>
      <c r="E7" s="2"/>
      <c r="F7" s="2" t="s">
        <v>32</v>
      </c>
      <c r="G7" s="2" t="s">
        <v>81</v>
      </c>
      <c r="H7" s="2" t="s">
        <v>82</v>
      </c>
      <c r="I7" s="2" t="s">
        <v>83</v>
      </c>
      <c r="J7" s="2" t="s">
        <v>36</v>
      </c>
      <c r="K7" s="2" t="s">
        <v>36</v>
      </c>
      <c r="L7" s="2" t="s">
        <v>84</v>
      </c>
      <c r="M7" s="2">
        <v>0.35299999999999998</v>
      </c>
      <c r="N7" s="2" t="s">
        <v>38</v>
      </c>
      <c r="O7" s="2" t="s">
        <v>54</v>
      </c>
      <c r="P7" s="2" t="s">
        <v>28</v>
      </c>
      <c r="Q7" s="2" t="s">
        <v>40</v>
      </c>
      <c r="R7" s="2" t="s">
        <v>41</v>
      </c>
      <c r="S7" s="2" t="s">
        <v>42</v>
      </c>
      <c r="T7" s="2">
        <v>65</v>
      </c>
      <c r="U7" s="2">
        <v>508</v>
      </c>
      <c r="V7" s="2" t="s">
        <v>85</v>
      </c>
      <c r="W7" s="2" t="s">
        <v>44</v>
      </c>
      <c r="X7" s="2" t="s">
        <v>45</v>
      </c>
      <c r="Y7" s="2"/>
      <c r="Z7" s="2"/>
      <c r="AA7" s="2"/>
      <c r="AB7" s="2"/>
    </row>
    <row r="8" spans="1:28">
      <c r="A8" s="2" t="s">
        <v>28</v>
      </c>
      <c r="B8" s="2" t="s">
        <v>29</v>
      </c>
      <c r="C8" s="2" t="s">
        <v>86</v>
      </c>
      <c r="D8" s="2" t="s">
        <v>87</v>
      </c>
      <c r="E8" s="2"/>
      <c r="F8" s="2" t="s">
        <v>32</v>
      </c>
      <c r="G8" s="2" t="s">
        <v>88</v>
      </c>
      <c r="H8" s="2" t="s">
        <v>89</v>
      </c>
      <c r="I8" s="2" t="s">
        <v>90</v>
      </c>
      <c r="J8" s="2" t="s">
        <v>36</v>
      </c>
      <c r="K8" s="2" t="s">
        <v>36</v>
      </c>
      <c r="L8" s="2" t="s">
        <v>91</v>
      </c>
      <c r="M8" s="2">
        <v>1.2849999999999999</v>
      </c>
      <c r="N8" s="2" t="s">
        <v>53</v>
      </c>
      <c r="O8" s="2" t="s">
        <v>39</v>
      </c>
      <c r="P8" s="2" t="s">
        <v>28</v>
      </c>
      <c r="Q8" s="2" t="s">
        <v>40</v>
      </c>
      <c r="R8" s="2" t="s">
        <v>41</v>
      </c>
      <c r="S8" s="2" t="s">
        <v>55</v>
      </c>
      <c r="T8" s="2">
        <v>42</v>
      </c>
      <c r="U8" s="2">
        <v>1104</v>
      </c>
      <c r="V8" s="2" t="s">
        <v>92</v>
      </c>
      <c r="W8" s="2" t="s">
        <v>44</v>
      </c>
      <c r="X8" s="2" t="s">
        <v>45</v>
      </c>
      <c r="Y8" s="2"/>
      <c r="Z8" s="2"/>
      <c r="AA8" s="2"/>
      <c r="AB8" s="2"/>
    </row>
    <row r="9" spans="1:28">
      <c r="A9" s="2" t="s">
        <v>28</v>
      </c>
      <c r="B9" s="2" t="s">
        <v>29</v>
      </c>
      <c r="C9" s="2" t="s">
        <v>93</v>
      </c>
      <c r="D9" s="2" t="s">
        <v>94</v>
      </c>
      <c r="E9" s="2"/>
      <c r="F9" s="2" t="s">
        <v>48</v>
      </c>
      <c r="G9" s="2" t="s">
        <v>95</v>
      </c>
      <c r="H9" s="2" t="s">
        <v>96</v>
      </c>
      <c r="I9" s="2" t="s">
        <v>97</v>
      </c>
      <c r="J9" s="2" t="s">
        <v>36</v>
      </c>
      <c r="K9" s="2" t="s">
        <v>36</v>
      </c>
      <c r="L9" s="2" t="s">
        <v>98</v>
      </c>
      <c r="M9" s="2">
        <v>0.68</v>
      </c>
      <c r="N9" s="2" t="s">
        <v>38</v>
      </c>
      <c r="O9" s="2" t="s">
        <v>39</v>
      </c>
      <c r="P9" s="2" t="s">
        <v>28</v>
      </c>
      <c r="Q9" s="2" t="s">
        <v>40</v>
      </c>
      <c r="R9" s="2" t="s">
        <v>41</v>
      </c>
      <c r="S9" s="2" t="s">
        <v>42</v>
      </c>
      <c r="T9" s="2">
        <v>84</v>
      </c>
      <c r="U9" s="2">
        <v>889</v>
      </c>
      <c r="V9" s="2" t="s">
        <v>43</v>
      </c>
      <c r="W9" s="2" t="s">
        <v>44</v>
      </c>
      <c r="X9" s="2" t="s">
        <v>45</v>
      </c>
      <c r="Y9" s="2"/>
      <c r="Z9" s="2"/>
      <c r="AA9" s="2"/>
      <c r="AB9" s="2"/>
    </row>
    <row r="10" spans="1:28">
      <c r="A10" s="2" t="s">
        <v>28</v>
      </c>
      <c r="B10" s="2" t="s">
        <v>29</v>
      </c>
      <c r="C10" s="2" t="s">
        <v>99</v>
      </c>
      <c r="D10" s="2" t="s">
        <v>100</v>
      </c>
      <c r="E10" s="2"/>
      <c r="F10" s="2" t="s">
        <v>32</v>
      </c>
      <c r="G10" s="2" t="s">
        <v>101</v>
      </c>
      <c r="H10" s="2" t="s">
        <v>102</v>
      </c>
      <c r="I10" s="2" t="s">
        <v>103</v>
      </c>
      <c r="J10" s="2" t="s">
        <v>36</v>
      </c>
      <c r="K10" s="2" t="s">
        <v>36</v>
      </c>
      <c r="L10" s="2" t="s">
        <v>104</v>
      </c>
      <c r="M10" s="2">
        <v>2.5950000000000002</v>
      </c>
      <c r="N10" s="2" t="s">
        <v>53</v>
      </c>
      <c r="O10" s="2" t="s">
        <v>39</v>
      </c>
      <c r="P10" s="2" t="s">
        <v>28</v>
      </c>
      <c r="Q10" s="2" t="s">
        <v>40</v>
      </c>
      <c r="R10" s="2" t="s">
        <v>41</v>
      </c>
      <c r="S10" s="2" t="s">
        <v>55</v>
      </c>
      <c r="T10" s="2">
        <v>39</v>
      </c>
      <c r="U10" s="2">
        <v>1104</v>
      </c>
      <c r="V10" s="2" t="s">
        <v>92</v>
      </c>
      <c r="W10" s="2" t="s">
        <v>44</v>
      </c>
      <c r="X10" s="2" t="s">
        <v>45</v>
      </c>
      <c r="Y10" s="2"/>
      <c r="Z10" s="2"/>
      <c r="AA10" s="2"/>
      <c r="AB10" s="2"/>
    </row>
    <row r="11" spans="1:28">
      <c r="A11" s="2" t="s">
        <v>28</v>
      </c>
      <c r="B11" s="2" t="s">
        <v>29</v>
      </c>
      <c r="C11" s="2" t="s">
        <v>105</v>
      </c>
      <c r="D11" s="2" t="s">
        <v>106</v>
      </c>
      <c r="E11" s="2"/>
      <c r="F11" s="2" t="s">
        <v>32</v>
      </c>
      <c r="G11" s="2" t="s">
        <v>107</v>
      </c>
      <c r="H11" s="2" t="s">
        <v>108</v>
      </c>
      <c r="I11" s="2" t="s">
        <v>109</v>
      </c>
      <c r="J11" s="2" t="s">
        <v>36</v>
      </c>
      <c r="K11" s="2" t="s">
        <v>36</v>
      </c>
      <c r="L11" s="2" t="s">
        <v>110</v>
      </c>
      <c r="M11" s="2">
        <v>1.4550000000000001</v>
      </c>
      <c r="N11" s="2" t="s">
        <v>53</v>
      </c>
      <c r="O11" s="2" t="s">
        <v>39</v>
      </c>
      <c r="P11" s="2" t="s">
        <v>28</v>
      </c>
      <c r="Q11" s="2" t="s">
        <v>40</v>
      </c>
      <c r="R11" s="2" t="s">
        <v>41</v>
      </c>
      <c r="S11" s="2" t="s">
        <v>42</v>
      </c>
      <c r="T11" s="2">
        <v>62</v>
      </c>
      <c r="U11" s="2">
        <v>895</v>
      </c>
      <c r="V11" s="2" t="s">
        <v>111</v>
      </c>
      <c r="W11" s="2" t="s">
        <v>44</v>
      </c>
      <c r="X11" s="2" t="s">
        <v>45</v>
      </c>
      <c r="Y11" s="2"/>
      <c r="Z11" s="2"/>
      <c r="AA11" s="2"/>
      <c r="AB11" s="2"/>
    </row>
    <row r="12" spans="1:28">
      <c r="A12" s="2" t="s">
        <v>28</v>
      </c>
      <c r="B12" s="2" t="s">
        <v>29</v>
      </c>
      <c r="C12" s="2" t="s">
        <v>112</v>
      </c>
      <c r="D12" s="2" t="s">
        <v>113</v>
      </c>
      <c r="E12" s="2"/>
      <c r="F12" s="2" t="s">
        <v>32</v>
      </c>
      <c r="G12" s="2" t="s">
        <v>114</v>
      </c>
      <c r="H12" s="2" t="s">
        <v>115</v>
      </c>
      <c r="I12" s="2" t="s">
        <v>116</v>
      </c>
      <c r="J12" s="2" t="s">
        <v>36</v>
      </c>
      <c r="K12" s="2" t="s">
        <v>36</v>
      </c>
      <c r="L12" s="2" t="s">
        <v>117</v>
      </c>
      <c r="M12" s="2">
        <v>3.19</v>
      </c>
      <c r="N12" s="2" t="s">
        <v>53</v>
      </c>
      <c r="O12" s="2" t="s">
        <v>54</v>
      </c>
      <c r="P12" s="2" t="s">
        <v>28</v>
      </c>
      <c r="Q12" s="2" t="s">
        <v>40</v>
      </c>
      <c r="R12" s="2" t="s">
        <v>41</v>
      </c>
      <c r="S12" s="2" t="s">
        <v>55</v>
      </c>
      <c r="T12" s="2">
        <v>38</v>
      </c>
      <c r="U12" s="2">
        <v>568</v>
      </c>
      <c r="V12" s="2" t="s">
        <v>56</v>
      </c>
      <c r="W12" s="2" t="s">
        <v>44</v>
      </c>
      <c r="X12" s="2" t="s">
        <v>45</v>
      </c>
      <c r="Y12" s="2"/>
      <c r="Z12" s="2"/>
      <c r="AA12" s="2"/>
      <c r="AB12" s="2"/>
    </row>
    <row r="13" spans="1:28">
      <c r="A13" s="2" t="s">
        <v>28</v>
      </c>
      <c r="B13" s="2" t="s">
        <v>29</v>
      </c>
      <c r="C13" s="2" t="s">
        <v>118</v>
      </c>
      <c r="D13" s="2" t="s">
        <v>119</v>
      </c>
      <c r="E13" s="2"/>
      <c r="F13" s="2" t="s">
        <v>32</v>
      </c>
      <c r="G13" s="2" t="s">
        <v>120</v>
      </c>
      <c r="H13" s="2" t="s">
        <v>121</v>
      </c>
      <c r="I13" s="2" t="s">
        <v>122</v>
      </c>
      <c r="J13" s="2" t="s">
        <v>36</v>
      </c>
      <c r="K13" s="2" t="s">
        <v>36</v>
      </c>
      <c r="L13" s="2" t="s">
        <v>123</v>
      </c>
      <c r="M13" s="2">
        <v>3.41</v>
      </c>
      <c r="N13" s="2" t="s">
        <v>53</v>
      </c>
      <c r="O13" s="2" t="s">
        <v>39</v>
      </c>
      <c r="P13" s="2" t="s">
        <v>28</v>
      </c>
      <c r="Q13" s="2" t="s">
        <v>40</v>
      </c>
      <c r="R13" s="2" t="s">
        <v>41</v>
      </c>
      <c r="S13" s="2" t="s">
        <v>55</v>
      </c>
      <c r="T13" s="2">
        <v>43</v>
      </c>
      <c r="U13" s="2">
        <v>955</v>
      </c>
      <c r="V13" s="2" t="s">
        <v>124</v>
      </c>
      <c r="W13" s="2" t="s">
        <v>44</v>
      </c>
      <c r="X13" s="2" t="s">
        <v>45</v>
      </c>
      <c r="Y13" s="2"/>
      <c r="Z13" s="2"/>
      <c r="AA13" s="2"/>
      <c r="AB13" s="2"/>
    </row>
    <row r="14" spans="1:28">
      <c r="A14" s="2" t="s">
        <v>28</v>
      </c>
      <c r="B14" s="2" t="s">
        <v>29</v>
      </c>
      <c r="C14" s="2" t="s">
        <v>125</v>
      </c>
      <c r="D14" s="2" t="s">
        <v>126</v>
      </c>
      <c r="E14" s="2" t="s">
        <v>127</v>
      </c>
      <c r="F14" s="2" t="s">
        <v>73</v>
      </c>
      <c r="G14" s="2" t="s">
        <v>128</v>
      </c>
      <c r="H14" s="2" t="s">
        <v>129</v>
      </c>
      <c r="I14" s="2" t="s">
        <v>130</v>
      </c>
      <c r="J14" s="2" t="s">
        <v>36</v>
      </c>
      <c r="K14" s="2" t="s">
        <v>36</v>
      </c>
      <c r="L14" s="2" t="s">
        <v>131</v>
      </c>
      <c r="M14" s="2">
        <v>17.138999999999999</v>
      </c>
      <c r="N14" s="2" t="s">
        <v>53</v>
      </c>
      <c r="O14" s="2" t="s">
        <v>39</v>
      </c>
      <c r="P14" s="2" t="s">
        <v>28</v>
      </c>
      <c r="Q14" s="2" t="s">
        <v>40</v>
      </c>
      <c r="R14" s="2" t="s">
        <v>41</v>
      </c>
      <c r="S14" s="2" t="s">
        <v>55</v>
      </c>
      <c r="T14" s="2">
        <v>44</v>
      </c>
      <c r="U14" s="2">
        <v>955</v>
      </c>
      <c r="V14" s="2" t="s">
        <v>124</v>
      </c>
      <c r="W14" s="2" t="s">
        <v>44</v>
      </c>
      <c r="X14" s="2" t="s">
        <v>45</v>
      </c>
      <c r="Y14" s="2"/>
      <c r="Z14" s="2"/>
      <c r="AA14" s="2"/>
      <c r="AB14" s="2"/>
    </row>
    <row r="15" spans="1:28">
      <c r="A15" s="2" t="s">
        <v>28</v>
      </c>
      <c r="B15" s="2" t="s">
        <v>29</v>
      </c>
      <c r="C15" s="2" t="s">
        <v>132</v>
      </c>
      <c r="D15" s="2" t="s">
        <v>133</v>
      </c>
      <c r="E15" s="2"/>
      <c r="F15" s="2" t="s">
        <v>32</v>
      </c>
      <c r="G15" s="2" t="s">
        <v>134</v>
      </c>
      <c r="H15" s="2" t="s">
        <v>135</v>
      </c>
      <c r="I15" s="2" t="s">
        <v>136</v>
      </c>
      <c r="J15" s="2" t="s">
        <v>36</v>
      </c>
      <c r="K15" s="2" t="s">
        <v>36</v>
      </c>
      <c r="L15" s="2" t="s">
        <v>137</v>
      </c>
      <c r="M15" s="2">
        <v>1.2789999999999999</v>
      </c>
      <c r="N15" s="2" t="s">
        <v>53</v>
      </c>
      <c r="O15" s="2" t="s">
        <v>54</v>
      </c>
      <c r="P15" s="2" t="s">
        <v>28</v>
      </c>
      <c r="Q15" s="2" t="s">
        <v>40</v>
      </c>
      <c r="R15" s="2" t="s">
        <v>41</v>
      </c>
      <c r="S15" s="2" t="s">
        <v>42</v>
      </c>
      <c r="T15" s="2">
        <v>63</v>
      </c>
      <c r="U15" s="2">
        <v>508</v>
      </c>
      <c r="V15" s="2" t="s">
        <v>85</v>
      </c>
      <c r="W15" s="2" t="s">
        <v>44</v>
      </c>
      <c r="X15" s="2" t="s">
        <v>45</v>
      </c>
      <c r="Y15" s="2"/>
      <c r="Z15" s="2"/>
      <c r="AA15" s="2"/>
      <c r="AB15" s="2"/>
    </row>
    <row r="16" spans="1:28">
      <c r="A16" s="2" t="s">
        <v>28</v>
      </c>
      <c r="B16" s="2" t="s">
        <v>29</v>
      </c>
      <c r="C16" s="2" t="s">
        <v>138</v>
      </c>
      <c r="D16" s="2" t="s">
        <v>139</v>
      </c>
      <c r="E16" s="2"/>
      <c r="F16" s="2" t="s">
        <v>32</v>
      </c>
      <c r="G16" s="2" t="s">
        <v>140</v>
      </c>
      <c r="H16" s="2" t="s">
        <v>141</v>
      </c>
      <c r="I16" s="2" t="s">
        <v>142</v>
      </c>
      <c r="J16" s="2" t="s">
        <v>36</v>
      </c>
      <c r="K16" s="2" t="s">
        <v>36</v>
      </c>
      <c r="L16" s="2" t="s">
        <v>143</v>
      </c>
      <c r="M16" s="2">
        <v>1.3120000000000001</v>
      </c>
      <c r="N16" s="2" t="s">
        <v>53</v>
      </c>
      <c r="O16" s="2" t="s">
        <v>54</v>
      </c>
      <c r="P16" s="2" t="s">
        <v>28</v>
      </c>
      <c r="Q16" s="2" t="s">
        <v>40</v>
      </c>
      <c r="R16" s="2" t="s">
        <v>41</v>
      </c>
      <c r="S16" s="2" t="s">
        <v>55</v>
      </c>
      <c r="T16" s="2">
        <v>39</v>
      </c>
      <c r="U16" s="2">
        <v>568</v>
      </c>
      <c r="V16" s="2" t="s">
        <v>56</v>
      </c>
      <c r="W16" s="2" t="s">
        <v>44</v>
      </c>
      <c r="X16" s="2" t="s">
        <v>45</v>
      </c>
      <c r="Y16" s="2"/>
      <c r="Z16" s="2"/>
      <c r="AA16" s="2"/>
      <c r="AB16" s="2"/>
    </row>
    <row r="17" spans="1:28">
      <c r="A17" s="2" t="s">
        <v>28</v>
      </c>
      <c r="B17" s="2" t="s">
        <v>29</v>
      </c>
      <c r="C17" s="2" t="s">
        <v>144</v>
      </c>
      <c r="D17" s="2" t="s">
        <v>145</v>
      </c>
      <c r="E17" s="2" t="s">
        <v>146</v>
      </c>
      <c r="F17" s="2" t="s">
        <v>32</v>
      </c>
      <c r="G17" s="2" t="s">
        <v>147</v>
      </c>
      <c r="H17" s="2" t="s">
        <v>148</v>
      </c>
      <c r="I17" s="2" t="s">
        <v>149</v>
      </c>
      <c r="J17" s="2" t="s">
        <v>36</v>
      </c>
      <c r="K17" s="2" t="s">
        <v>36</v>
      </c>
      <c r="L17" s="2" t="s">
        <v>150</v>
      </c>
      <c r="M17" s="2">
        <v>2.4140000000000001</v>
      </c>
      <c r="N17" s="2" t="s">
        <v>53</v>
      </c>
      <c r="O17" s="2" t="s">
        <v>54</v>
      </c>
      <c r="P17" s="2" t="s">
        <v>28</v>
      </c>
      <c r="Q17" s="2" t="s">
        <v>40</v>
      </c>
      <c r="R17" s="2" t="s">
        <v>41</v>
      </c>
      <c r="S17" s="2" t="s">
        <v>55</v>
      </c>
      <c r="T17" s="2">
        <v>39</v>
      </c>
      <c r="U17" s="2">
        <v>619</v>
      </c>
      <c r="V17" s="2" t="s">
        <v>151</v>
      </c>
      <c r="W17" s="2" t="s">
        <v>44</v>
      </c>
      <c r="X17" s="2" t="s">
        <v>45</v>
      </c>
      <c r="Y17" s="2"/>
      <c r="Z17" s="2"/>
      <c r="AA17" s="2"/>
      <c r="AB17" s="2"/>
    </row>
    <row r="18" spans="1:28">
      <c r="A18" s="2" t="s">
        <v>28</v>
      </c>
      <c r="B18" s="2" t="s">
        <v>29</v>
      </c>
      <c r="C18" s="2" t="s">
        <v>152</v>
      </c>
      <c r="D18" s="2" t="s">
        <v>153</v>
      </c>
      <c r="E18" s="2" t="s">
        <v>154</v>
      </c>
      <c r="F18" s="2" t="s">
        <v>32</v>
      </c>
      <c r="G18" s="2" t="s">
        <v>155</v>
      </c>
      <c r="H18" s="2" t="s">
        <v>156</v>
      </c>
      <c r="I18" s="2" t="s">
        <v>157</v>
      </c>
      <c r="J18" s="2" t="s">
        <v>36</v>
      </c>
      <c r="K18" s="2" t="s">
        <v>36</v>
      </c>
      <c r="L18" s="2" t="s">
        <v>158</v>
      </c>
      <c r="M18" s="2">
        <v>1.929</v>
      </c>
      <c r="N18" s="2" t="s">
        <v>53</v>
      </c>
      <c r="O18" s="2" t="s">
        <v>54</v>
      </c>
      <c r="P18" s="2" t="s">
        <v>28</v>
      </c>
      <c r="Q18" s="2" t="s">
        <v>40</v>
      </c>
      <c r="R18" s="2" t="s">
        <v>41</v>
      </c>
      <c r="S18" s="2" t="s">
        <v>55</v>
      </c>
      <c r="T18" s="2">
        <v>37</v>
      </c>
      <c r="U18" s="2">
        <v>619</v>
      </c>
      <c r="V18" s="2" t="s">
        <v>151</v>
      </c>
      <c r="W18" s="2" t="s">
        <v>44</v>
      </c>
      <c r="X18" s="2" t="s">
        <v>45</v>
      </c>
      <c r="Y18" s="2"/>
      <c r="Z18" s="2"/>
      <c r="AA18" s="2"/>
      <c r="AB18" s="2"/>
    </row>
    <row r="19" spans="1:28">
      <c r="A19" s="2" t="s">
        <v>28</v>
      </c>
      <c r="B19" s="2" t="s">
        <v>29</v>
      </c>
      <c r="C19" s="2" t="s">
        <v>159</v>
      </c>
      <c r="D19" s="2" t="s">
        <v>160</v>
      </c>
      <c r="E19" s="2"/>
      <c r="F19" s="2" t="s">
        <v>32</v>
      </c>
      <c r="G19" s="2" t="s">
        <v>161</v>
      </c>
      <c r="H19" s="2" t="s">
        <v>162</v>
      </c>
      <c r="I19" s="2" t="s">
        <v>163</v>
      </c>
      <c r="J19" s="2" t="s">
        <v>36</v>
      </c>
      <c r="K19" s="2" t="s">
        <v>36</v>
      </c>
      <c r="L19" s="2" t="s">
        <v>164</v>
      </c>
      <c r="M19" s="2">
        <v>0.39700000000000002</v>
      </c>
      <c r="N19" s="2" t="s">
        <v>38</v>
      </c>
      <c r="O19" s="2" t="s">
        <v>165</v>
      </c>
      <c r="P19" s="2" t="s">
        <v>28</v>
      </c>
      <c r="Q19" s="2" t="s">
        <v>40</v>
      </c>
      <c r="R19" s="2" t="s">
        <v>41</v>
      </c>
      <c r="S19" s="2" t="s">
        <v>42</v>
      </c>
      <c r="T19" s="2">
        <v>66</v>
      </c>
      <c r="U19" s="2">
        <v>798</v>
      </c>
      <c r="V19" s="2" t="s">
        <v>166</v>
      </c>
      <c r="W19" s="2" t="s">
        <v>44</v>
      </c>
      <c r="X19" s="2" t="s">
        <v>45</v>
      </c>
      <c r="Y19" s="2"/>
      <c r="Z19" s="2"/>
      <c r="AA19" s="2"/>
      <c r="AB19" s="2"/>
    </row>
    <row r="20" spans="1:28">
      <c r="A20" s="2" t="s">
        <v>28</v>
      </c>
      <c r="B20" s="2" t="s">
        <v>29</v>
      </c>
      <c r="C20" s="2" t="s">
        <v>167</v>
      </c>
      <c r="D20" s="2" t="s">
        <v>168</v>
      </c>
      <c r="E20" s="2"/>
      <c r="F20" s="2" t="s">
        <v>48</v>
      </c>
      <c r="G20" s="2" t="s">
        <v>169</v>
      </c>
      <c r="H20" s="2" t="s">
        <v>170</v>
      </c>
      <c r="I20" s="2" t="s">
        <v>171</v>
      </c>
      <c r="J20" s="2" t="s">
        <v>36</v>
      </c>
      <c r="K20" s="2" t="s">
        <v>36</v>
      </c>
      <c r="L20" s="2" t="s">
        <v>172</v>
      </c>
      <c r="M20" s="2">
        <v>0.19500000000000001</v>
      </c>
      <c r="N20" s="2" t="s">
        <v>38</v>
      </c>
      <c r="O20" s="2" t="s">
        <v>39</v>
      </c>
      <c r="P20" s="2" t="s">
        <v>28</v>
      </c>
      <c r="Q20" s="2" t="s">
        <v>40</v>
      </c>
      <c r="R20" s="2" t="s">
        <v>41</v>
      </c>
      <c r="S20" s="2" t="s">
        <v>55</v>
      </c>
      <c r="T20" s="2">
        <v>39</v>
      </c>
      <c r="U20" s="2">
        <v>954</v>
      </c>
      <c r="V20" s="2" t="s">
        <v>78</v>
      </c>
      <c r="W20" s="2" t="s">
        <v>44</v>
      </c>
      <c r="X20" s="2" t="s">
        <v>45</v>
      </c>
      <c r="Y20" s="2"/>
      <c r="Z20" s="2"/>
      <c r="AA20" s="2"/>
      <c r="AB20" s="2"/>
    </row>
    <row r="21" spans="1:28">
      <c r="A21" s="2" t="s">
        <v>28</v>
      </c>
      <c r="B21" s="2" t="s">
        <v>29</v>
      </c>
      <c r="C21" s="2" t="s">
        <v>173</v>
      </c>
      <c r="D21" s="2" t="s">
        <v>174</v>
      </c>
      <c r="E21" s="2" t="s">
        <v>175</v>
      </c>
      <c r="F21" s="2" t="s">
        <v>48</v>
      </c>
      <c r="G21" s="2" t="s">
        <v>176</v>
      </c>
      <c r="H21" s="2" t="s">
        <v>177</v>
      </c>
      <c r="I21" s="2" t="s">
        <v>178</v>
      </c>
      <c r="J21" s="2" t="s">
        <v>36</v>
      </c>
      <c r="K21" s="2" t="s">
        <v>36</v>
      </c>
      <c r="L21" s="2" t="s">
        <v>179</v>
      </c>
      <c r="M21" s="2">
        <v>0.66</v>
      </c>
      <c r="N21" s="2" t="s">
        <v>38</v>
      </c>
      <c r="O21" s="2" t="s">
        <v>39</v>
      </c>
      <c r="P21" s="2" t="s">
        <v>28</v>
      </c>
      <c r="Q21" s="2" t="s">
        <v>40</v>
      </c>
      <c r="R21" s="2" t="s">
        <v>41</v>
      </c>
      <c r="S21" s="2" t="s">
        <v>42</v>
      </c>
      <c r="T21" s="2">
        <v>78</v>
      </c>
      <c r="U21" s="2">
        <v>889</v>
      </c>
      <c r="V21" s="2" t="s">
        <v>43</v>
      </c>
      <c r="W21" s="2" t="s">
        <v>44</v>
      </c>
      <c r="X21" s="2" t="s">
        <v>45</v>
      </c>
      <c r="Y21" s="2"/>
      <c r="Z21" s="2"/>
      <c r="AA21" s="2"/>
      <c r="AB21" s="2"/>
    </row>
    <row r="22" spans="1:28">
      <c r="A22" s="2" t="s">
        <v>28</v>
      </c>
      <c r="B22" s="2" t="s">
        <v>29</v>
      </c>
      <c r="C22" s="2" t="s">
        <v>180</v>
      </c>
      <c r="D22" s="2" t="s">
        <v>181</v>
      </c>
      <c r="E22" s="2"/>
      <c r="F22" s="2" t="s">
        <v>32</v>
      </c>
      <c r="G22" s="2" t="s">
        <v>182</v>
      </c>
      <c r="H22" s="2" t="s">
        <v>183</v>
      </c>
      <c r="I22" s="2" t="s">
        <v>184</v>
      </c>
      <c r="J22" s="2" t="s">
        <v>36</v>
      </c>
      <c r="K22" s="2" t="s">
        <v>36</v>
      </c>
      <c r="L22" s="2" t="s">
        <v>185</v>
      </c>
      <c r="M22" s="2">
        <v>0.66</v>
      </c>
      <c r="N22" s="2" t="s">
        <v>38</v>
      </c>
      <c r="O22" s="2" t="s">
        <v>39</v>
      </c>
      <c r="P22" s="2" t="s">
        <v>28</v>
      </c>
      <c r="Q22" s="2" t="s">
        <v>40</v>
      </c>
      <c r="R22" s="2" t="s">
        <v>41</v>
      </c>
      <c r="S22" s="2" t="s">
        <v>42</v>
      </c>
      <c r="T22" s="2">
        <v>81</v>
      </c>
      <c r="U22" s="2">
        <v>889</v>
      </c>
      <c r="V22" s="2" t="s">
        <v>43</v>
      </c>
      <c r="W22" s="2" t="s">
        <v>44</v>
      </c>
      <c r="X22" s="2" t="s">
        <v>45</v>
      </c>
      <c r="Y22" s="2"/>
      <c r="Z22" s="2"/>
      <c r="AA22" s="2"/>
      <c r="AB22" s="2"/>
    </row>
    <row r="23" spans="1:28">
      <c r="A23" s="2" t="s">
        <v>28</v>
      </c>
      <c r="B23" s="2" t="s">
        <v>29</v>
      </c>
      <c r="C23" s="2" t="s">
        <v>186</v>
      </c>
      <c r="D23" s="2" t="s">
        <v>187</v>
      </c>
      <c r="E23" s="2"/>
      <c r="F23" s="2" t="s">
        <v>73</v>
      </c>
      <c r="G23" s="2" t="s">
        <v>188</v>
      </c>
      <c r="H23" s="2" t="s">
        <v>189</v>
      </c>
      <c r="I23" s="2" t="s">
        <v>190</v>
      </c>
      <c r="J23" s="2" t="s">
        <v>36</v>
      </c>
      <c r="K23" s="2" t="s">
        <v>36</v>
      </c>
      <c r="L23" s="2" t="s">
        <v>191</v>
      </c>
      <c r="M23" s="2">
        <v>3.9020000000000001</v>
      </c>
      <c r="N23" s="2" t="s">
        <v>53</v>
      </c>
      <c r="O23" s="2" t="s">
        <v>54</v>
      </c>
      <c r="P23" s="2" t="s">
        <v>28</v>
      </c>
      <c r="Q23" s="2" t="s">
        <v>40</v>
      </c>
      <c r="R23" s="2" t="s">
        <v>41</v>
      </c>
      <c r="S23" s="2" t="s">
        <v>55</v>
      </c>
      <c r="T23" s="2">
        <v>39</v>
      </c>
      <c r="U23" s="2">
        <v>568</v>
      </c>
      <c r="V23" s="2" t="s">
        <v>56</v>
      </c>
      <c r="W23" s="2" t="s">
        <v>44</v>
      </c>
      <c r="X23" s="2" t="s">
        <v>45</v>
      </c>
      <c r="Y23" s="2"/>
      <c r="Z23" s="2"/>
      <c r="AA23" s="2"/>
      <c r="AB23" s="2"/>
    </row>
    <row r="24" spans="1:28">
      <c r="A24" s="2" t="s">
        <v>28</v>
      </c>
      <c r="B24" s="2" t="s">
        <v>29</v>
      </c>
      <c r="C24" s="2" t="s">
        <v>192</v>
      </c>
      <c r="D24" s="2" t="s">
        <v>193</v>
      </c>
      <c r="E24" s="2"/>
      <c r="F24" s="2" t="s">
        <v>32</v>
      </c>
      <c r="G24" s="2" t="s">
        <v>194</v>
      </c>
      <c r="H24" s="2" t="s">
        <v>195</v>
      </c>
      <c r="I24" s="2" t="s">
        <v>196</v>
      </c>
      <c r="J24" s="2" t="s">
        <v>36</v>
      </c>
      <c r="K24" s="2" t="s">
        <v>36</v>
      </c>
      <c r="L24" s="2" t="s">
        <v>197</v>
      </c>
      <c r="M24" s="2">
        <v>0.79400000000000004</v>
      </c>
      <c r="N24" s="2" t="s">
        <v>38</v>
      </c>
      <c r="O24" s="2" t="s">
        <v>54</v>
      </c>
      <c r="P24" s="2" t="s">
        <v>28</v>
      </c>
      <c r="Q24" s="2" t="s">
        <v>40</v>
      </c>
      <c r="R24" s="2" t="s">
        <v>41</v>
      </c>
      <c r="S24" s="2" t="s">
        <v>42</v>
      </c>
      <c r="T24" s="2">
        <v>62</v>
      </c>
      <c r="U24" s="2">
        <v>508</v>
      </c>
      <c r="V24" s="2" t="s">
        <v>85</v>
      </c>
      <c r="W24" s="2" t="s">
        <v>44</v>
      </c>
      <c r="X24" s="2" t="s">
        <v>45</v>
      </c>
      <c r="Y24" s="2"/>
      <c r="Z24" s="2"/>
      <c r="AA24" s="2"/>
      <c r="AB24" s="2"/>
    </row>
    <row r="25" spans="1:28">
      <c r="A25" s="2" t="s">
        <v>28</v>
      </c>
      <c r="B25" s="2" t="s">
        <v>29</v>
      </c>
      <c r="C25" s="2" t="s">
        <v>198</v>
      </c>
      <c r="D25" s="2" t="s">
        <v>199</v>
      </c>
      <c r="E25" s="2"/>
      <c r="F25" s="2" t="s">
        <v>73</v>
      </c>
      <c r="G25" s="2" t="s">
        <v>200</v>
      </c>
      <c r="H25" s="2" t="s">
        <v>201</v>
      </c>
      <c r="I25" s="2" t="s">
        <v>202</v>
      </c>
      <c r="J25" s="2" t="s">
        <v>36</v>
      </c>
      <c r="K25" s="2" t="s">
        <v>36</v>
      </c>
      <c r="L25" s="2" t="s">
        <v>203</v>
      </c>
      <c r="M25" s="2">
        <v>2.91</v>
      </c>
      <c r="N25" s="2" t="s">
        <v>53</v>
      </c>
      <c r="O25" s="2" t="s">
        <v>54</v>
      </c>
      <c r="P25" s="2" t="s">
        <v>28</v>
      </c>
      <c r="Q25" s="2" t="s">
        <v>40</v>
      </c>
      <c r="R25" s="2" t="s">
        <v>41</v>
      </c>
      <c r="S25" s="2" t="s">
        <v>42</v>
      </c>
      <c r="T25" s="2">
        <v>61</v>
      </c>
      <c r="U25" s="2">
        <v>508</v>
      </c>
      <c r="V25" s="2" t="s">
        <v>85</v>
      </c>
      <c r="W25" s="2" t="s">
        <v>44</v>
      </c>
      <c r="X25" s="2" t="s">
        <v>45</v>
      </c>
      <c r="Y25" s="2"/>
      <c r="Z25" s="2"/>
      <c r="AA25" s="2"/>
      <c r="AB25" s="2"/>
    </row>
    <row r="26" spans="1:28">
      <c r="A26" s="2" t="s">
        <v>28</v>
      </c>
      <c r="B26" s="2" t="s">
        <v>29</v>
      </c>
      <c r="C26" s="2" t="s">
        <v>204</v>
      </c>
      <c r="D26" s="2" t="s">
        <v>205</v>
      </c>
      <c r="E26" s="2"/>
      <c r="F26" s="2" t="s">
        <v>73</v>
      </c>
      <c r="G26" s="2" t="s">
        <v>206</v>
      </c>
      <c r="H26" s="2" t="s">
        <v>207</v>
      </c>
      <c r="I26" s="2" t="s">
        <v>208</v>
      </c>
      <c r="J26" s="2" t="s">
        <v>36</v>
      </c>
      <c r="K26" s="2" t="s">
        <v>36</v>
      </c>
      <c r="L26" s="2" t="s">
        <v>209</v>
      </c>
      <c r="M26" s="2">
        <v>0.38</v>
      </c>
      <c r="N26" s="2" t="s">
        <v>38</v>
      </c>
      <c r="O26" s="2" t="s">
        <v>39</v>
      </c>
      <c r="P26" s="2" t="s">
        <v>28</v>
      </c>
      <c r="Q26" s="2" t="s">
        <v>40</v>
      </c>
      <c r="R26" s="2" t="s">
        <v>41</v>
      </c>
      <c r="S26" s="2" t="s">
        <v>55</v>
      </c>
      <c r="T26" s="2">
        <v>42</v>
      </c>
      <c r="U26" s="2">
        <v>1104</v>
      </c>
      <c r="V26" s="2" t="s">
        <v>92</v>
      </c>
      <c r="W26" s="2" t="s">
        <v>44</v>
      </c>
      <c r="X26" s="2" t="s">
        <v>45</v>
      </c>
      <c r="Y26" s="2"/>
      <c r="Z26" s="2"/>
      <c r="AA26" s="2"/>
      <c r="AB26" s="2"/>
    </row>
    <row r="27" spans="1:28">
      <c r="A27" s="2" t="s">
        <v>28</v>
      </c>
      <c r="B27" s="2" t="s">
        <v>29</v>
      </c>
      <c r="C27" s="2" t="s">
        <v>210</v>
      </c>
      <c r="D27" s="2" t="s">
        <v>211</v>
      </c>
      <c r="E27" s="2"/>
      <c r="F27" s="2" t="s">
        <v>73</v>
      </c>
      <c r="G27" s="2" t="s">
        <v>212</v>
      </c>
      <c r="H27" s="2" t="s">
        <v>213</v>
      </c>
      <c r="I27" s="2" t="s">
        <v>214</v>
      </c>
      <c r="J27" s="2" t="s">
        <v>36</v>
      </c>
      <c r="K27" s="2" t="s">
        <v>36</v>
      </c>
      <c r="L27" s="2" t="s">
        <v>215</v>
      </c>
      <c r="M27" s="2">
        <v>2.65</v>
      </c>
      <c r="N27" s="2" t="s">
        <v>53</v>
      </c>
      <c r="O27" s="2" t="s">
        <v>39</v>
      </c>
      <c r="P27" s="2" t="s">
        <v>28</v>
      </c>
      <c r="Q27" s="2" t="s">
        <v>40</v>
      </c>
      <c r="R27" s="2" t="s">
        <v>41</v>
      </c>
      <c r="S27" s="2" t="s">
        <v>42</v>
      </c>
      <c r="T27" s="2">
        <v>83</v>
      </c>
      <c r="U27" s="2">
        <v>889</v>
      </c>
      <c r="V27" s="2" t="s">
        <v>43</v>
      </c>
      <c r="W27" s="2" t="s">
        <v>44</v>
      </c>
      <c r="X27" s="2" t="s">
        <v>45</v>
      </c>
      <c r="Y27" s="2"/>
      <c r="Z27" s="2"/>
      <c r="AA27" s="2"/>
      <c r="AB27" s="2"/>
    </row>
    <row r="28" spans="1:28">
      <c r="A28" s="2" t="s">
        <v>28</v>
      </c>
      <c r="B28" s="2" t="s">
        <v>29</v>
      </c>
      <c r="C28" s="2" t="s">
        <v>216</v>
      </c>
      <c r="D28" s="2" t="s">
        <v>217</v>
      </c>
      <c r="E28" s="2" t="s">
        <v>218</v>
      </c>
      <c r="F28" s="2" t="s">
        <v>32</v>
      </c>
      <c r="G28" s="2" t="s">
        <v>219</v>
      </c>
      <c r="H28" s="2" t="s">
        <v>220</v>
      </c>
      <c r="I28" s="2" t="s">
        <v>221</v>
      </c>
      <c r="J28" s="2" t="s">
        <v>36</v>
      </c>
      <c r="K28" s="2" t="s">
        <v>36</v>
      </c>
      <c r="L28" s="2" t="s">
        <v>222</v>
      </c>
      <c r="M28" s="2">
        <v>0.33</v>
      </c>
      <c r="N28" s="2" t="s">
        <v>38</v>
      </c>
      <c r="O28" s="2" t="s">
        <v>39</v>
      </c>
      <c r="P28" s="2" t="s">
        <v>28</v>
      </c>
      <c r="Q28" s="2" t="s">
        <v>40</v>
      </c>
      <c r="R28" s="2" t="s">
        <v>41</v>
      </c>
      <c r="S28" s="2" t="s">
        <v>42</v>
      </c>
      <c r="T28" s="2">
        <v>78</v>
      </c>
      <c r="U28" s="2">
        <v>889</v>
      </c>
      <c r="V28" s="2" t="s">
        <v>43</v>
      </c>
      <c r="W28" s="2" t="s">
        <v>44</v>
      </c>
      <c r="X28" s="2" t="s">
        <v>45</v>
      </c>
      <c r="Y28" s="2"/>
      <c r="Z28" s="2"/>
      <c r="AA28" s="2"/>
      <c r="AB28" s="2"/>
    </row>
    <row r="29" spans="1:28">
      <c r="A29" s="2" t="s">
        <v>28</v>
      </c>
      <c r="B29" s="2" t="s">
        <v>29</v>
      </c>
      <c r="C29" s="2" t="s">
        <v>223</v>
      </c>
      <c r="D29" s="2" t="s">
        <v>224</v>
      </c>
      <c r="E29" s="2"/>
      <c r="F29" s="2" t="s">
        <v>48</v>
      </c>
      <c r="G29" s="2" t="s">
        <v>225</v>
      </c>
      <c r="H29" s="2" t="s">
        <v>226</v>
      </c>
      <c r="I29" s="2" t="s">
        <v>227</v>
      </c>
      <c r="J29" s="2" t="s">
        <v>36</v>
      </c>
      <c r="K29" s="2" t="s">
        <v>36</v>
      </c>
      <c r="L29" s="2" t="s">
        <v>228</v>
      </c>
      <c r="M29" s="2">
        <v>2.1040000000000001</v>
      </c>
      <c r="N29" s="2" t="s">
        <v>53</v>
      </c>
      <c r="O29" s="2" t="s">
        <v>39</v>
      </c>
      <c r="P29" s="2" t="s">
        <v>28</v>
      </c>
      <c r="Q29" s="2" t="s">
        <v>40</v>
      </c>
      <c r="R29" s="2" t="s">
        <v>41</v>
      </c>
      <c r="S29" s="2" t="s">
        <v>55</v>
      </c>
      <c r="T29" s="2">
        <v>42</v>
      </c>
      <c r="U29" s="2">
        <v>1104</v>
      </c>
      <c r="V29" s="2" t="s">
        <v>92</v>
      </c>
      <c r="W29" s="2" t="s">
        <v>44</v>
      </c>
      <c r="X29" s="2" t="s">
        <v>45</v>
      </c>
      <c r="Y29" s="2"/>
      <c r="Z29" s="2"/>
      <c r="AA29" s="2"/>
      <c r="AB29" s="2"/>
    </row>
    <row r="30" spans="1:28">
      <c r="A30" s="2" t="s">
        <v>28</v>
      </c>
      <c r="B30" s="2" t="s">
        <v>29</v>
      </c>
      <c r="C30" s="2" t="s">
        <v>229</v>
      </c>
      <c r="D30" s="2" t="s">
        <v>230</v>
      </c>
      <c r="E30" s="2"/>
      <c r="F30" s="2" t="s">
        <v>32</v>
      </c>
      <c r="G30" s="2" t="s">
        <v>231</v>
      </c>
      <c r="H30" s="2" t="s">
        <v>232</v>
      </c>
      <c r="I30" s="2" t="s">
        <v>233</v>
      </c>
      <c r="J30" s="2" t="s">
        <v>36</v>
      </c>
      <c r="K30" s="2" t="s">
        <v>36</v>
      </c>
      <c r="L30" s="2" t="s">
        <v>234</v>
      </c>
      <c r="M30" s="2">
        <v>3.19</v>
      </c>
      <c r="N30" s="2" t="s">
        <v>53</v>
      </c>
      <c r="O30" s="2" t="s">
        <v>39</v>
      </c>
      <c r="P30" s="2" t="s">
        <v>28</v>
      </c>
      <c r="Q30" s="2" t="s">
        <v>40</v>
      </c>
      <c r="R30" s="2" t="s">
        <v>41</v>
      </c>
      <c r="S30" s="2" t="s">
        <v>55</v>
      </c>
      <c r="T30" s="2">
        <v>41</v>
      </c>
      <c r="U30" s="2">
        <v>954</v>
      </c>
      <c r="V30" s="2" t="s">
        <v>78</v>
      </c>
      <c r="W30" s="2" t="s">
        <v>44</v>
      </c>
      <c r="X30" s="2" t="s">
        <v>45</v>
      </c>
      <c r="Y30" s="2"/>
      <c r="Z30" s="2"/>
      <c r="AA30" s="2"/>
      <c r="AB30" s="2"/>
    </row>
    <row r="31" spans="1:28">
      <c r="A31" s="2" t="s">
        <v>28</v>
      </c>
      <c r="B31" s="2" t="s">
        <v>29</v>
      </c>
      <c r="C31" s="2" t="s">
        <v>235</v>
      </c>
      <c r="D31" s="2" t="s">
        <v>236</v>
      </c>
      <c r="E31" s="2"/>
      <c r="F31" s="2" t="s">
        <v>32</v>
      </c>
      <c r="G31" s="2" t="s">
        <v>237</v>
      </c>
      <c r="H31" s="2" t="s">
        <v>238</v>
      </c>
      <c r="I31" s="2" t="s">
        <v>239</v>
      </c>
      <c r="J31" s="2" t="s">
        <v>36</v>
      </c>
      <c r="K31" s="2" t="s">
        <v>36</v>
      </c>
      <c r="L31" s="2" t="s">
        <v>240</v>
      </c>
      <c r="M31" s="2">
        <v>0.88900000000000001</v>
      </c>
      <c r="N31" s="2" t="s">
        <v>38</v>
      </c>
      <c r="O31" s="2" t="s">
        <v>54</v>
      </c>
      <c r="P31" s="2" t="s">
        <v>28</v>
      </c>
      <c r="Q31" s="2" t="s">
        <v>40</v>
      </c>
      <c r="R31" s="2" t="s">
        <v>41</v>
      </c>
      <c r="S31" s="2" t="s">
        <v>55</v>
      </c>
      <c r="T31" s="2">
        <v>41</v>
      </c>
      <c r="U31" s="2">
        <v>568</v>
      </c>
      <c r="V31" s="2" t="s">
        <v>56</v>
      </c>
      <c r="W31" s="2" t="s">
        <v>44</v>
      </c>
      <c r="X31" s="2" t="s">
        <v>45</v>
      </c>
      <c r="Y31" s="2"/>
      <c r="Z31" s="2"/>
      <c r="AA31" s="2"/>
      <c r="AB31" s="2"/>
    </row>
    <row r="32" spans="1:28">
      <c r="A32" s="2" t="s">
        <v>28</v>
      </c>
      <c r="B32" s="2" t="s">
        <v>29</v>
      </c>
      <c r="C32" s="2" t="s">
        <v>241</v>
      </c>
      <c r="D32" s="2" t="s">
        <v>242</v>
      </c>
      <c r="E32" s="2"/>
      <c r="F32" s="2" t="s">
        <v>48</v>
      </c>
      <c r="G32" s="2" t="s">
        <v>243</v>
      </c>
      <c r="H32" s="2" t="s">
        <v>244</v>
      </c>
      <c r="I32" s="2" t="s">
        <v>245</v>
      </c>
      <c r="J32" s="2" t="s">
        <v>36</v>
      </c>
      <c r="K32" s="2" t="s">
        <v>36</v>
      </c>
      <c r="L32" s="2" t="s">
        <v>246</v>
      </c>
      <c r="M32" s="2">
        <v>0.97</v>
      </c>
      <c r="N32" s="2" t="s">
        <v>38</v>
      </c>
      <c r="O32" s="2" t="s">
        <v>54</v>
      </c>
      <c r="P32" s="2" t="s">
        <v>28</v>
      </c>
      <c r="Q32" s="2" t="s">
        <v>40</v>
      </c>
      <c r="R32" s="2" t="s">
        <v>41</v>
      </c>
      <c r="S32" s="2" t="s">
        <v>42</v>
      </c>
      <c r="T32" s="2">
        <v>62</v>
      </c>
      <c r="U32" s="2">
        <v>508</v>
      </c>
      <c r="V32" s="2" t="s">
        <v>85</v>
      </c>
      <c r="W32" s="2" t="s">
        <v>44</v>
      </c>
      <c r="X32" s="2" t="s">
        <v>45</v>
      </c>
      <c r="Y32" s="2"/>
      <c r="Z32" s="2"/>
      <c r="AA32" s="2"/>
      <c r="AB32" s="2"/>
    </row>
    <row r="33" spans="1:28">
      <c r="A33" s="2" t="s">
        <v>28</v>
      </c>
      <c r="B33" s="2" t="s">
        <v>29</v>
      </c>
      <c r="C33" s="2" t="s">
        <v>247</v>
      </c>
      <c r="D33" s="2" t="s">
        <v>248</v>
      </c>
      <c r="E33" s="2"/>
      <c r="F33" s="2" t="s">
        <v>73</v>
      </c>
      <c r="G33" s="2" t="s">
        <v>249</v>
      </c>
      <c r="H33" s="2" t="s">
        <v>250</v>
      </c>
      <c r="I33" s="2" t="s">
        <v>251</v>
      </c>
      <c r="J33" s="2" t="s">
        <v>36</v>
      </c>
      <c r="K33" s="2" t="s">
        <v>36</v>
      </c>
      <c r="L33" s="2" t="s">
        <v>252</v>
      </c>
      <c r="M33" s="2">
        <v>0.33</v>
      </c>
      <c r="N33" s="2" t="s">
        <v>38</v>
      </c>
      <c r="O33" s="2" t="s">
        <v>39</v>
      </c>
      <c r="P33" s="2" t="s">
        <v>28</v>
      </c>
      <c r="Q33" s="2" t="s">
        <v>40</v>
      </c>
      <c r="R33" s="2" t="s">
        <v>41</v>
      </c>
      <c r="S33" s="2" t="s">
        <v>42</v>
      </c>
      <c r="T33" s="2">
        <v>78</v>
      </c>
      <c r="U33" s="2">
        <v>889</v>
      </c>
      <c r="V33" s="2" t="s">
        <v>43</v>
      </c>
      <c r="W33" s="2" t="s">
        <v>44</v>
      </c>
      <c r="X33" s="2" t="s">
        <v>45</v>
      </c>
      <c r="Y33" s="2"/>
      <c r="Z33" s="2"/>
      <c r="AA33" s="2"/>
      <c r="AB33" s="2"/>
    </row>
    <row r="34" spans="1:28">
      <c r="A34" s="2" t="s">
        <v>28</v>
      </c>
      <c r="B34" s="2" t="s">
        <v>29</v>
      </c>
      <c r="C34" s="2" t="s">
        <v>253</v>
      </c>
      <c r="D34" s="2" t="s">
        <v>254</v>
      </c>
      <c r="E34" s="2"/>
      <c r="F34" s="2" t="s">
        <v>32</v>
      </c>
      <c r="G34" s="2" t="s">
        <v>255</v>
      </c>
      <c r="H34" s="2" t="s">
        <v>256</v>
      </c>
      <c r="I34" s="2" t="s">
        <v>257</v>
      </c>
      <c r="J34" s="2" t="s">
        <v>36</v>
      </c>
      <c r="K34" s="2" t="s">
        <v>36</v>
      </c>
      <c r="L34" s="2" t="s">
        <v>258</v>
      </c>
      <c r="M34" s="2">
        <v>0.441</v>
      </c>
      <c r="N34" s="2" t="s">
        <v>38</v>
      </c>
      <c r="O34" s="2" t="s">
        <v>39</v>
      </c>
      <c r="P34" s="2" t="s">
        <v>28</v>
      </c>
      <c r="Q34" s="2" t="s">
        <v>40</v>
      </c>
      <c r="R34" s="2" t="s">
        <v>41</v>
      </c>
      <c r="S34" s="2" t="s">
        <v>42</v>
      </c>
      <c r="T34" s="2">
        <v>104</v>
      </c>
      <c r="U34" s="2">
        <v>889</v>
      </c>
      <c r="V34" s="2" t="s">
        <v>43</v>
      </c>
      <c r="W34" s="2" t="s">
        <v>44</v>
      </c>
      <c r="X34" s="2" t="s">
        <v>45</v>
      </c>
      <c r="Y34" s="2"/>
      <c r="Z34" s="2"/>
      <c r="AA34" s="2"/>
      <c r="AB34" s="2"/>
    </row>
    <row r="35" spans="1:28">
      <c r="A35" s="2" t="s">
        <v>28</v>
      </c>
      <c r="B35" s="2" t="s">
        <v>29</v>
      </c>
      <c r="C35" s="2" t="s">
        <v>259</v>
      </c>
      <c r="D35" s="2" t="s">
        <v>260</v>
      </c>
      <c r="E35" s="2"/>
      <c r="F35" s="2" t="s">
        <v>73</v>
      </c>
      <c r="G35" s="2" t="s">
        <v>261</v>
      </c>
      <c r="H35" s="2" t="s">
        <v>262</v>
      </c>
      <c r="I35" s="2" t="s">
        <v>263</v>
      </c>
      <c r="J35" s="2" t="s">
        <v>36</v>
      </c>
      <c r="K35" s="2" t="s">
        <v>36</v>
      </c>
      <c r="L35" s="2" t="s">
        <v>264</v>
      </c>
      <c r="M35" s="2">
        <v>1.01</v>
      </c>
      <c r="N35" s="2" t="s">
        <v>53</v>
      </c>
      <c r="O35" s="2" t="s">
        <v>39</v>
      </c>
      <c r="P35" s="2" t="s">
        <v>28</v>
      </c>
      <c r="Q35" s="2" t="s">
        <v>40</v>
      </c>
      <c r="R35" s="2" t="s">
        <v>41</v>
      </c>
      <c r="S35" s="2" t="s">
        <v>55</v>
      </c>
      <c r="T35" s="2">
        <v>43</v>
      </c>
      <c r="U35" s="2">
        <v>954</v>
      </c>
      <c r="V35" s="2" t="s">
        <v>78</v>
      </c>
      <c r="W35" s="2" t="s">
        <v>44</v>
      </c>
      <c r="X35" s="2" t="s">
        <v>45</v>
      </c>
      <c r="Y35" s="2"/>
      <c r="Z35" s="2"/>
      <c r="AA35" s="2"/>
      <c r="AB35" s="2"/>
    </row>
    <row r="36" spans="1:28">
      <c r="A36" s="2" t="s">
        <v>28</v>
      </c>
      <c r="B36" s="2" t="s">
        <v>29</v>
      </c>
      <c r="C36" s="2" t="s">
        <v>265</v>
      </c>
      <c r="D36" s="2" t="s">
        <v>266</v>
      </c>
      <c r="E36" s="2"/>
      <c r="F36" s="2" t="s">
        <v>48</v>
      </c>
      <c r="G36" s="2" t="s">
        <v>267</v>
      </c>
      <c r="H36" s="2" t="s">
        <v>268</v>
      </c>
      <c r="I36" s="2" t="s">
        <v>269</v>
      </c>
      <c r="J36" s="2" t="s">
        <v>36</v>
      </c>
      <c r="K36" s="2" t="s">
        <v>36</v>
      </c>
      <c r="L36" s="2" t="s">
        <v>270</v>
      </c>
      <c r="M36" s="2">
        <v>0.51</v>
      </c>
      <c r="N36" s="2" t="s">
        <v>38</v>
      </c>
      <c r="O36" s="2" t="s">
        <v>39</v>
      </c>
      <c r="P36" s="2" t="s">
        <v>28</v>
      </c>
      <c r="Q36" s="2" t="s">
        <v>40</v>
      </c>
      <c r="R36" s="2" t="s">
        <v>41</v>
      </c>
      <c r="S36" s="2" t="s">
        <v>55</v>
      </c>
      <c r="T36" s="2">
        <v>39</v>
      </c>
      <c r="U36" s="2">
        <v>954</v>
      </c>
      <c r="V36" s="2" t="s">
        <v>78</v>
      </c>
      <c r="W36" s="2" t="s">
        <v>44</v>
      </c>
      <c r="X36" s="2" t="s">
        <v>45</v>
      </c>
      <c r="Y36" s="2"/>
      <c r="Z36" s="2"/>
      <c r="AA36" s="2"/>
      <c r="AB36" s="2"/>
    </row>
    <row r="37" spans="1:28">
      <c r="A37" s="2" t="s">
        <v>28</v>
      </c>
      <c r="B37" s="2" t="s">
        <v>29</v>
      </c>
      <c r="C37" s="2" t="s">
        <v>271</v>
      </c>
      <c r="D37" s="2" t="s">
        <v>272</v>
      </c>
      <c r="E37" s="2"/>
      <c r="F37" s="2" t="s">
        <v>73</v>
      </c>
      <c r="G37" s="2" t="s">
        <v>273</v>
      </c>
      <c r="H37" s="2" t="s">
        <v>274</v>
      </c>
      <c r="I37" s="2" t="s">
        <v>275</v>
      </c>
      <c r="J37" s="2" t="s">
        <v>36</v>
      </c>
      <c r="K37" s="2" t="s">
        <v>36</v>
      </c>
      <c r="L37" s="2" t="s">
        <v>276</v>
      </c>
      <c r="M37" s="2">
        <v>0.55000000000000004</v>
      </c>
      <c r="N37" s="2" t="s">
        <v>38</v>
      </c>
      <c r="O37" s="2" t="s">
        <v>39</v>
      </c>
      <c r="P37" s="2" t="s">
        <v>28</v>
      </c>
      <c r="Q37" s="2" t="s">
        <v>40</v>
      </c>
      <c r="R37" s="2" t="s">
        <v>41</v>
      </c>
      <c r="S37" s="2" t="s">
        <v>42</v>
      </c>
      <c r="T37" s="2">
        <v>83</v>
      </c>
      <c r="U37" s="2">
        <v>889</v>
      </c>
      <c r="V37" s="2" t="s">
        <v>43</v>
      </c>
      <c r="W37" s="2" t="s">
        <v>44</v>
      </c>
      <c r="X37" s="2" t="s">
        <v>45</v>
      </c>
      <c r="Y37" s="2"/>
      <c r="Z37" s="2"/>
      <c r="AA37" s="2"/>
      <c r="AB37" s="2"/>
    </row>
    <row r="38" spans="1:28">
      <c r="A38" s="2" t="s">
        <v>28</v>
      </c>
      <c r="B38" s="2" t="s">
        <v>29</v>
      </c>
      <c r="C38" s="2" t="s">
        <v>277</v>
      </c>
      <c r="D38" s="2" t="s">
        <v>278</v>
      </c>
      <c r="E38" s="2"/>
      <c r="F38" s="2" t="s">
        <v>73</v>
      </c>
      <c r="G38" s="2" t="s">
        <v>279</v>
      </c>
      <c r="H38" s="2" t="s">
        <v>280</v>
      </c>
      <c r="I38" s="2" t="s">
        <v>281</v>
      </c>
      <c r="J38" s="2" t="s">
        <v>36</v>
      </c>
      <c r="K38" s="2" t="s">
        <v>36</v>
      </c>
      <c r="L38" s="2" t="s">
        <v>282</v>
      </c>
      <c r="M38" s="2">
        <v>0.5</v>
      </c>
      <c r="N38" s="2" t="s">
        <v>38</v>
      </c>
      <c r="O38" s="2" t="s">
        <v>39</v>
      </c>
      <c r="P38" s="2" t="s">
        <v>28</v>
      </c>
      <c r="Q38" s="2" t="s">
        <v>40</v>
      </c>
      <c r="R38" s="2" t="s">
        <v>41</v>
      </c>
      <c r="S38" s="2" t="s">
        <v>42</v>
      </c>
      <c r="T38" s="2">
        <v>83</v>
      </c>
      <c r="U38" s="2">
        <v>889</v>
      </c>
      <c r="V38" s="2" t="s">
        <v>43</v>
      </c>
      <c r="W38" s="2" t="s">
        <v>44</v>
      </c>
      <c r="X38" s="2" t="s">
        <v>45</v>
      </c>
      <c r="Y38" s="2"/>
      <c r="Z38" s="2"/>
      <c r="AA38" s="2"/>
      <c r="AB38" s="2"/>
    </row>
    <row r="39" spans="1:28">
      <c r="A39" s="2" t="s">
        <v>28</v>
      </c>
      <c r="B39" s="2" t="s">
        <v>29</v>
      </c>
      <c r="C39" s="2" t="s">
        <v>283</v>
      </c>
      <c r="D39" s="2" t="s">
        <v>284</v>
      </c>
      <c r="E39" s="2"/>
      <c r="F39" s="2" t="s">
        <v>73</v>
      </c>
      <c r="G39" s="2" t="s">
        <v>285</v>
      </c>
      <c r="H39" s="2" t="s">
        <v>286</v>
      </c>
      <c r="I39" s="2" t="s">
        <v>287</v>
      </c>
      <c r="J39" s="2" t="s">
        <v>36</v>
      </c>
      <c r="K39" s="2" t="s">
        <v>36</v>
      </c>
      <c r="L39" s="2" t="s">
        <v>288</v>
      </c>
      <c r="M39" s="2">
        <v>3.6</v>
      </c>
      <c r="N39" s="2" t="s">
        <v>53</v>
      </c>
      <c r="O39" s="2" t="s">
        <v>39</v>
      </c>
      <c r="P39" s="2" t="s">
        <v>28</v>
      </c>
      <c r="Q39" s="2" t="s">
        <v>40</v>
      </c>
      <c r="R39" s="2" t="s">
        <v>41</v>
      </c>
      <c r="S39" s="2" t="s">
        <v>42</v>
      </c>
      <c r="T39" s="2">
        <v>107</v>
      </c>
      <c r="U39" s="2">
        <v>889</v>
      </c>
      <c r="V39" s="2" t="s">
        <v>43</v>
      </c>
      <c r="W39" s="2" t="s">
        <v>44</v>
      </c>
      <c r="X39" s="2" t="s">
        <v>45</v>
      </c>
      <c r="Y39" s="2"/>
      <c r="Z39" s="2"/>
      <c r="AA39" s="2"/>
      <c r="AB39" s="2"/>
    </row>
    <row r="40" spans="1:28">
      <c r="A40" s="2" t="s">
        <v>28</v>
      </c>
      <c r="B40" s="2" t="s">
        <v>29</v>
      </c>
      <c r="C40" s="2" t="s">
        <v>289</v>
      </c>
      <c r="D40" s="2" t="s">
        <v>290</v>
      </c>
      <c r="E40" s="2" t="s">
        <v>291</v>
      </c>
      <c r="F40" s="2" t="s">
        <v>32</v>
      </c>
      <c r="G40" s="2" t="s">
        <v>292</v>
      </c>
      <c r="H40" s="2" t="s">
        <v>293</v>
      </c>
      <c r="I40" s="2" t="s">
        <v>294</v>
      </c>
      <c r="J40" s="2" t="s">
        <v>36</v>
      </c>
      <c r="K40" s="2" t="s">
        <v>36</v>
      </c>
      <c r="L40" s="2" t="s">
        <v>295</v>
      </c>
      <c r="M40" s="2">
        <v>0.48699999999999999</v>
      </c>
      <c r="N40" s="2" t="s">
        <v>38</v>
      </c>
      <c r="O40" s="2" t="s">
        <v>54</v>
      </c>
      <c r="P40" s="2" t="s">
        <v>28</v>
      </c>
      <c r="Q40" s="2" t="s">
        <v>40</v>
      </c>
      <c r="R40" s="2" t="s">
        <v>41</v>
      </c>
      <c r="S40" s="2" t="s">
        <v>55</v>
      </c>
      <c r="T40" s="2">
        <v>39</v>
      </c>
      <c r="U40" s="2">
        <v>619</v>
      </c>
      <c r="V40" s="2" t="s">
        <v>151</v>
      </c>
      <c r="W40" s="2" t="s">
        <v>44</v>
      </c>
      <c r="X40" s="2" t="s">
        <v>45</v>
      </c>
      <c r="Y40" s="2"/>
      <c r="Z40" s="2"/>
      <c r="AA40" s="2"/>
      <c r="AB40" s="2"/>
    </row>
    <row r="41" spans="1:28">
      <c r="A41" s="2" t="s">
        <v>28</v>
      </c>
      <c r="B41" s="2" t="s">
        <v>29</v>
      </c>
      <c r="C41" s="2" t="s">
        <v>296</v>
      </c>
      <c r="D41" s="2" t="s">
        <v>297</v>
      </c>
      <c r="E41" s="2" t="s">
        <v>298</v>
      </c>
      <c r="F41" s="2" t="s">
        <v>48</v>
      </c>
      <c r="G41" s="2" t="s">
        <v>299</v>
      </c>
      <c r="H41" s="2" t="s">
        <v>300</v>
      </c>
      <c r="I41" s="2" t="s">
        <v>301</v>
      </c>
      <c r="J41" s="2" t="s">
        <v>36</v>
      </c>
      <c r="K41" s="2" t="s">
        <v>36</v>
      </c>
      <c r="L41" s="2" t="s">
        <v>302</v>
      </c>
      <c r="M41" s="2">
        <v>3</v>
      </c>
      <c r="N41" s="2" t="s">
        <v>53</v>
      </c>
      <c r="O41" s="2" t="s">
        <v>39</v>
      </c>
      <c r="P41" s="2" t="s">
        <v>28</v>
      </c>
      <c r="Q41" s="2" t="s">
        <v>40</v>
      </c>
      <c r="R41" s="2" t="s">
        <v>41</v>
      </c>
      <c r="S41" s="2" t="s">
        <v>42</v>
      </c>
      <c r="T41" s="2">
        <v>80</v>
      </c>
      <c r="U41" s="2">
        <v>889</v>
      </c>
      <c r="V41" s="2" t="s">
        <v>43</v>
      </c>
      <c r="W41" s="2" t="s">
        <v>44</v>
      </c>
      <c r="X41" s="2" t="s">
        <v>45</v>
      </c>
      <c r="Y41" s="2"/>
      <c r="Z41" s="2"/>
      <c r="AA41" s="2"/>
      <c r="AB41" s="2"/>
    </row>
    <row r="42" spans="1:28">
      <c r="A42" s="2" t="s">
        <v>28</v>
      </c>
      <c r="B42" s="2" t="s">
        <v>29</v>
      </c>
      <c r="C42" s="2" t="s">
        <v>303</v>
      </c>
      <c r="D42" s="2" t="s">
        <v>304</v>
      </c>
      <c r="E42" s="2"/>
      <c r="F42" s="2" t="s">
        <v>32</v>
      </c>
      <c r="G42" s="2" t="s">
        <v>305</v>
      </c>
      <c r="H42" s="2" t="s">
        <v>306</v>
      </c>
      <c r="I42" s="2" t="s">
        <v>307</v>
      </c>
      <c r="J42" s="2" t="s">
        <v>36</v>
      </c>
      <c r="K42" s="2" t="s">
        <v>36</v>
      </c>
      <c r="L42" s="2" t="s">
        <v>308</v>
      </c>
      <c r="M42" s="2">
        <v>1.94</v>
      </c>
      <c r="N42" s="2" t="s">
        <v>53</v>
      </c>
      <c r="O42" s="2" t="s">
        <v>39</v>
      </c>
      <c r="P42" s="2" t="s">
        <v>28</v>
      </c>
      <c r="Q42" s="2" t="s">
        <v>40</v>
      </c>
      <c r="R42" s="2" t="s">
        <v>41</v>
      </c>
      <c r="S42" s="2" t="s">
        <v>55</v>
      </c>
      <c r="T42" s="2">
        <v>40</v>
      </c>
      <c r="U42" s="2">
        <v>954</v>
      </c>
      <c r="V42" s="2" t="s">
        <v>78</v>
      </c>
      <c r="W42" s="2" t="s">
        <v>44</v>
      </c>
      <c r="X42" s="2" t="s">
        <v>45</v>
      </c>
      <c r="Y42" s="2"/>
      <c r="Z42" s="2"/>
      <c r="AA42" s="2"/>
      <c r="AB42" s="2"/>
    </row>
    <row r="43" spans="1:28">
      <c r="A43" s="2" t="s">
        <v>28</v>
      </c>
      <c r="B43" s="2" t="s">
        <v>29</v>
      </c>
      <c r="C43" s="2" t="s">
        <v>309</v>
      </c>
      <c r="D43" s="2" t="s">
        <v>310</v>
      </c>
      <c r="E43" s="2"/>
      <c r="F43" s="2" t="s">
        <v>73</v>
      </c>
      <c r="G43" s="2" t="s">
        <v>311</v>
      </c>
      <c r="H43" s="2" t="s">
        <v>312</v>
      </c>
      <c r="I43" s="2" t="s">
        <v>313</v>
      </c>
      <c r="J43" s="2" t="s">
        <v>36</v>
      </c>
      <c r="K43" s="2" t="s">
        <v>36</v>
      </c>
      <c r="L43" s="2" t="s">
        <v>314</v>
      </c>
      <c r="M43" s="2">
        <v>3.08</v>
      </c>
      <c r="N43" s="2" t="s">
        <v>53</v>
      </c>
      <c r="O43" s="2" t="s">
        <v>54</v>
      </c>
      <c r="P43" s="2" t="s">
        <v>28</v>
      </c>
      <c r="Q43" s="2" t="s">
        <v>40</v>
      </c>
      <c r="R43" s="2" t="s">
        <v>41</v>
      </c>
      <c r="S43" s="2" t="s">
        <v>55</v>
      </c>
      <c r="T43" s="2">
        <v>39</v>
      </c>
      <c r="U43" s="2">
        <v>568</v>
      </c>
      <c r="V43" s="2" t="s">
        <v>56</v>
      </c>
      <c r="W43" s="2" t="s">
        <v>44</v>
      </c>
      <c r="X43" s="2" t="s">
        <v>45</v>
      </c>
      <c r="Y43" s="2"/>
      <c r="Z43" s="2"/>
      <c r="AA43" s="2"/>
      <c r="AB43" s="2"/>
    </row>
    <row r="44" spans="1:28">
      <c r="A44" s="2" t="s">
        <v>28</v>
      </c>
      <c r="B44" s="2" t="s">
        <v>29</v>
      </c>
      <c r="C44" s="2" t="s">
        <v>315</v>
      </c>
      <c r="D44" s="2" t="s">
        <v>316</v>
      </c>
      <c r="E44" s="2"/>
      <c r="F44" s="2" t="s">
        <v>73</v>
      </c>
      <c r="G44" s="2" t="s">
        <v>317</v>
      </c>
      <c r="H44" s="2" t="s">
        <v>318</v>
      </c>
      <c r="I44" s="2" t="s">
        <v>319</v>
      </c>
      <c r="J44" s="2" t="s">
        <v>36</v>
      </c>
      <c r="K44" s="2" t="s">
        <v>36</v>
      </c>
      <c r="L44" s="2" t="s">
        <v>320</v>
      </c>
      <c r="M44" s="2">
        <v>7.0000000000000007E-2</v>
      </c>
      <c r="N44" s="2" t="s">
        <v>38</v>
      </c>
      <c r="O44" s="2" t="s">
        <v>39</v>
      </c>
      <c r="P44" s="2" t="s">
        <v>28</v>
      </c>
      <c r="Q44" s="2" t="s">
        <v>40</v>
      </c>
      <c r="R44" s="2" t="s">
        <v>41</v>
      </c>
      <c r="S44" s="2" t="s">
        <v>55</v>
      </c>
      <c r="T44" s="2">
        <v>43</v>
      </c>
      <c r="U44" s="2">
        <v>954</v>
      </c>
      <c r="V44" s="2" t="s">
        <v>78</v>
      </c>
      <c r="W44" s="2" t="s">
        <v>44</v>
      </c>
      <c r="X44" s="2" t="s">
        <v>45</v>
      </c>
      <c r="Y44" s="2"/>
      <c r="Z44" s="2"/>
      <c r="AA44" s="2"/>
      <c r="AB44" s="2"/>
    </row>
    <row r="45" spans="1:28">
      <c r="A45" s="2" t="s">
        <v>28</v>
      </c>
      <c r="B45" s="2" t="s">
        <v>29</v>
      </c>
      <c r="C45" s="2" t="s">
        <v>321</v>
      </c>
      <c r="D45" s="2" t="s">
        <v>322</v>
      </c>
      <c r="E45" s="2" t="s">
        <v>323</v>
      </c>
      <c r="F45" s="2" t="s">
        <v>73</v>
      </c>
      <c r="G45" s="2" t="s">
        <v>324</v>
      </c>
      <c r="H45" s="2" t="s">
        <v>325</v>
      </c>
      <c r="I45" s="2" t="s">
        <v>326</v>
      </c>
      <c r="J45" s="2" t="s">
        <v>36</v>
      </c>
      <c r="K45" s="2" t="s">
        <v>36</v>
      </c>
      <c r="L45" s="2" t="s">
        <v>327</v>
      </c>
      <c r="M45" s="2">
        <v>0.40100000000000002</v>
      </c>
      <c r="N45" s="2" t="s">
        <v>38</v>
      </c>
      <c r="O45" s="2" t="s">
        <v>39</v>
      </c>
      <c r="P45" s="2" t="s">
        <v>28</v>
      </c>
      <c r="Q45" s="2" t="s">
        <v>40</v>
      </c>
      <c r="R45" s="2" t="s">
        <v>41</v>
      </c>
      <c r="S45" s="2" t="s">
        <v>42</v>
      </c>
      <c r="T45" s="2">
        <v>106</v>
      </c>
      <c r="U45" s="2">
        <v>889</v>
      </c>
      <c r="V45" s="2" t="s">
        <v>43</v>
      </c>
      <c r="W45" s="2" t="s">
        <v>44</v>
      </c>
      <c r="X45" s="2" t="s">
        <v>45</v>
      </c>
      <c r="Y45" s="2"/>
      <c r="Z45" s="2"/>
      <c r="AA45" s="2"/>
      <c r="AB45" s="2"/>
    </row>
    <row r="46" spans="1:28">
      <c r="A46" s="2" t="s">
        <v>28</v>
      </c>
      <c r="B46" s="2" t="s">
        <v>29</v>
      </c>
      <c r="C46" s="2" t="s">
        <v>328</v>
      </c>
      <c r="D46" s="2" t="s">
        <v>329</v>
      </c>
      <c r="E46" s="2"/>
      <c r="F46" s="2" t="s">
        <v>32</v>
      </c>
      <c r="G46" s="2" t="s">
        <v>330</v>
      </c>
      <c r="H46" s="2" t="s">
        <v>331</v>
      </c>
      <c r="I46" s="2" t="s">
        <v>332</v>
      </c>
      <c r="J46" s="2" t="s">
        <v>36</v>
      </c>
      <c r="K46" s="2" t="s">
        <v>36</v>
      </c>
      <c r="L46" s="2" t="s">
        <v>333</v>
      </c>
      <c r="M46" s="2">
        <v>1.52</v>
      </c>
      <c r="N46" s="2" t="s">
        <v>53</v>
      </c>
      <c r="O46" s="2" t="s">
        <v>39</v>
      </c>
      <c r="P46" s="2" t="s">
        <v>28</v>
      </c>
      <c r="Q46" s="2" t="s">
        <v>40</v>
      </c>
      <c r="R46" s="2" t="s">
        <v>41</v>
      </c>
      <c r="S46" s="2" t="s">
        <v>55</v>
      </c>
      <c r="T46" s="2">
        <v>40</v>
      </c>
      <c r="U46" s="2">
        <v>954</v>
      </c>
      <c r="V46" s="2" t="s">
        <v>78</v>
      </c>
      <c r="W46" s="2" t="s">
        <v>44</v>
      </c>
      <c r="X46" s="2" t="s">
        <v>45</v>
      </c>
      <c r="Y46" s="2"/>
      <c r="Z46" s="2"/>
      <c r="AA46" s="2"/>
      <c r="AB46" s="2"/>
    </row>
    <row r="47" spans="1:28">
      <c r="A47" s="2" t="s">
        <v>28</v>
      </c>
      <c r="B47" s="2" t="s">
        <v>29</v>
      </c>
      <c r="C47" s="2" t="s">
        <v>334</v>
      </c>
      <c r="D47" s="2" t="s">
        <v>335</v>
      </c>
      <c r="E47" s="2"/>
      <c r="F47" s="2" t="s">
        <v>73</v>
      </c>
      <c r="G47" s="2" t="s">
        <v>336</v>
      </c>
      <c r="H47" s="2" t="s">
        <v>337</v>
      </c>
      <c r="I47" s="2" t="s">
        <v>338</v>
      </c>
      <c r="J47" s="2" t="s">
        <v>36</v>
      </c>
      <c r="K47" s="2" t="s">
        <v>36</v>
      </c>
      <c r="L47" s="2" t="s">
        <v>339</v>
      </c>
      <c r="M47" s="2">
        <v>2.7050000000000001</v>
      </c>
      <c r="N47" s="2" t="s">
        <v>53</v>
      </c>
      <c r="O47" s="2" t="s">
        <v>39</v>
      </c>
      <c r="P47" s="2" t="s">
        <v>28</v>
      </c>
      <c r="Q47" s="2" t="s">
        <v>40</v>
      </c>
      <c r="R47" s="2" t="s">
        <v>41</v>
      </c>
      <c r="S47" s="2" t="s">
        <v>55</v>
      </c>
      <c r="T47" s="2">
        <v>40</v>
      </c>
      <c r="U47" s="2">
        <v>1104</v>
      </c>
      <c r="V47" s="2" t="s">
        <v>92</v>
      </c>
      <c r="W47" s="2" t="s">
        <v>44</v>
      </c>
      <c r="X47" s="2" t="s">
        <v>45</v>
      </c>
      <c r="Y47" s="2"/>
      <c r="Z47" s="2"/>
      <c r="AA47" s="2"/>
      <c r="AB47" s="2"/>
    </row>
    <row r="48" spans="1:28">
      <c r="A48" s="2" t="s">
        <v>28</v>
      </c>
      <c r="B48" s="2" t="s">
        <v>29</v>
      </c>
      <c r="C48" s="2" t="s">
        <v>340</v>
      </c>
      <c r="D48" s="2" t="s">
        <v>341</v>
      </c>
      <c r="E48" s="2"/>
      <c r="F48" s="2" t="s">
        <v>32</v>
      </c>
      <c r="G48" s="2" t="s">
        <v>342</v>
      </c>
      <c r="H48" s="2" t="s">
        <v>343</v>
      </c>
      <c r="I48" s="2" t="s">
        <v>344</v>
      </c>
      <c r="J48" s="2" t="s">
        <v>36</v>
      </c>
      <c r="K48" s="2" t="s">
        <v>36</v>
      </c>
      <c r="L48" s="2" t="s">
        <v>345</v>
      </c>
      <c r="M48" s="2">
        <v>0.50700000000000001</v>
      </c>
      <c r="N48" s="2" t="s">
        <v>38</v>
      </c>
      <c r="O48" s="2" t="s">
        <v>54</v>
      </c>
      <c r="P48" s="2" t="s">
        <v>28</v>
      </c>
      <c r="Q48" s="2" t="s">
        <v>40</v>
      </c>
      <c r="R48" s="2" t="s">
        <v>41</v>
      </c>
      <c r="S48" s="2" t="s">
        <v>42</v>
      </c>
      <c r="T48" s="2">
        <v>85</v>
      </c>
      <c r="U48" s="2">
        <v>508</v>
      </c>
      <c r="V48" s="2" t="s">
        <v>85</v>
      </c>
      <c r="W48" s="2" t="s">
        <v>44</v>
      </c>
      <c r="X48" s="2" t="s">
        <v>45</v>
      </c>
      <c r="Y48" s="2"/>
      <c r="Z48" s="2"/>
      <c r="AA48" s="2"/>
      <c r="AB48" s="2"/>
    </row>
    <row r="49" spans="1:28">
      <c r="A49" s="2" t="s">
        <v>28</v>
      </c>
      <c r="B49" s="2" t="s">
        <v>29</v>
      </c>
      <c r="C49" s="2" t="s">
        <v>346</v>
      </c>
      <c r="D49" s="2" t="s">
        <v>347</v>
      </c>
      <c r="E49" s="2" t="s">
        <v>348</v>
      </c>
      <c r="F49" s="2" t="s">
        <v>32</v>
      </c>
      <c r="G49" s="2" t="s">
        <v>349</v>
      </c>
      <c r="H49" s="2" t="s">
        <v>350</v>
      </c>
      <c r="I49" s="2" t="s">
        <v>351</v>
      </c>
      <c r="J49" s="2" t="s">
        <v>36</v>
      </c>
      <c r="K49" s="2" t="s">
        <v>36</v>
      </c>
      <c r="L49" s="2" t="s">
        <v>352</v>
      </c>
      <c r="M49" s="2">
        <v>7.0000000000000007E-2</v>
      </c>
      <c r="N49" s="2" t="s">
        <v>38</v>
      </c>
      <c r="O49" s="2" t="s">
        <v>39</v>
      </c>
      <c r="P49" s="2" t="s">
        <v>28</v>
      </c>
      <c r="Q49" s="2" t="s">
        <v>40</v>
      </c>
      <c r="R49" s="2" t="s">
        <v>41</v>
      </c>
      <c r="S49" s="2" t="s">
        <v>42</v>
      </c>
      <c r="T49" s="2">
        <v>79</v>
      </c>
      <c r="U49" s="2">
        <v>889</v>
      </c>
      <c r="V49" s="2" t="s">
        <v>43</v>
      </c>
      <c r="W49" s="2" t="s">
        <v>44</v>
      </c>
      <c r="X49" s="2" t="s">
        <v>45</v>
      </c>
      <c r="Y49" s="2"/>
      <c r="Z49" s="2"/>
      <c r="AA49" s="2"/>
      <c r="AB49" s="2"/>
    </row>
    <row r="50" spans="1:28">
      <c r="A50" s="2" t="s">
        <v>28</v>
      </c>
      <c r="B50" s="2" t="s">
        <v>29</v>
      </c>
      <c r="C50" s="2" t="s">
        <v>353</v>
      </c>
      <c r="D50" s="2" t="s">
        <v>354</v>
      </c>
      <c r="E50" s="2"/>
      <c r="F50" s="2" t="s">
        <v>32</v>
      </c>
      <c r="G50" s="2" t="s">
        <v>355</v>
      </c>
      <c r="H50" s="2" t="s">
        <v>356</v>
      </c>
      <c r="I50" s="2" t="s">
        <v>357</v>
      </c>
      <c r="J50" s="2" t="s">
        <v>36</v>
      </c>
      <c r="K50" s="2" t="s">
        <v>36</v>
      </c>
      <c r="L50" s="2" t="s">
        <v>358</v>
      </c>
      <c r="M50" s="2">
        <v>3.0870000000000002</v>
      </c>
      <c r="N50" s="2" t="s">
        <v>53</v>
      </c>
      <c r="O50" s="2" t="s">
        <v>39</v>
      </c>
      <c r="P50" s="2" t="s">
        <v>28</v>
      </c>
      <c r="Q50" s="2" t="s">
        <v>40</v>
      </c>
      <c r="R50" s="2" t="s">
        <v>41</v>
      </c>
      <c r="S50" s="2" t="s">
        <v>42</v>
      </c>
      <c r="T50" s="2">
        <v>78</v>
      </c>
      <c r="U50" s="2">
        <v>889</v>
      </c>
      <c r="V50" s="2" t="s">
        <v>43</v>
      </c>
      <c r="W50" s="2" t="s">
        <v>44</v>
      </c>
      <c r="X50" s="2" t="s">
        <v>45</v>
      </c>
      <c r="Y50" s="2"/>
      <c r="Z50" s="2"/>
      <c r="AA50" s="2"/>
      <c r="AB50" s="2"/>
    </row>
    <row r="51" spans="1:28">
      <c r="A51" s="2" t="s">
        <v>28</v>
      </c>
      <c r="B51" s="2" t="s">
        <v>29</v>
      </c>
      <c r="C51" s="2" t="s">
        <v>359</v>
      </c>
      <c r="D51" s="2" t="s">
        <v>360</v>
      </c>
      <c r="E51" s="2"/>
      <c r="F51" s="2" t="s">
        <v>32</v>
      </c>
      <c r="G51" s="2" t="s">
        <v>361</v>
      </c>
      <c r="H51" s="2" t="s">
        <v>362</v>
      </c>
      <c r="I51" s="2" t="s">
        <v>363</v>
      </c>
      <c r="J51" s="2" t="s">
        <v>36</v>
      </c>
      <c r="K51" s="2" t="s">
        <v>36</v>
      </c>
      <c r="L51" s="2" t="s">
        <v>364</v>
      </c>
      <c r="M51" s="2">
        <v>0.13200000000000001</v>
      </c>
      <c r="N51" s="2" t="s">
        <v>38</v>
      </c>
      <c r="O51" s="2" t="s">
        <v>54</v>
      </c>
      <c r="P51" s="2" t="s">
        <v>28</v>
      </c>
      <c r="Q51" s="2" t="s">
        <v>40</v>
      </c>
      <c r="R51" s="2" t="s">
        <v>41</v>
      </c>
      <c r="S51" s="2" t="s">
        <v>42</v>
      </c>
      <c r="T51" s="2">
        <v>60</v>
      </c>
      <c r="U51" s="2">
        <v>508</v>
      </c>
      <c r="V51" s="2" t="s">
        <v>85</v>
      </c>
      <c r="W51" s="2" t="s">
        <v>44</v>
      </c>
      <c r="X51" s="2" t="s">
        <v>45</v>
      </c>
      <c r="Y51" s="2"/>
      <c r="Z51" s="2"/>
      <c r="AA51" s="2"/>
      <c r="AB51" s="2"/>
    </row>
    <row r="52" spans="1:28">
      <c r="A52" s="2" t="s">
        <v>28</v>
      </c>
      <c r="B52" s="2" t="s">
        <v>29</v>
      </c>
      <c r="C52" s="2" t="s">
        <v>365</v>
      </c>
      <c r="D52" s="2" t="s">
        <v>366</v>
      </c>
      <c r="E52" s="2"/>
      <c r="F52" s="2" t="s">
        <v>73</v>
      </c>
      <c r="G52" s="2" t="s">
        <v>367</v>
      </c>
      <c r="H52" s="2" t="s">
        <v>368</v>
      </c>
      <c r="I52" s="2" t="s">
        <v>369</v>
      </c>
      <c r="J52" s="2" t="s">
        <v>36</v>
      </c>
      <c r="K52" s="2" t="s">
        <v>36</v>
      </c>
      <c r="L52" s="2" t="s">
        <v>370</v>
      </c>
      <c r="M52" s="2">
        <v>1.321</v>
      </c>
      <c r="N52" s="2" t="s">
        <v>53</v>
      </c>
      <c r="O52" s="2" t="s">
        <v>39</v>
      </c>
      <c r="P52" s="2" t="s">
        <v>28</v>
      </c>
      <c r="Q52" s="2" t="s">
        <v>40</v>
      </c>
      <c r="R52" s="2" t="s">
        <v>41</v>
      </c>
      <c r="S52" s="2" t="s">
        <v>55</v>
      </c>
      <c r="T52" s="2">
        <v>44</v>
      </c>
      <c r="U52" s="2">
        <v>1092</v>
      </c>
      <c r="V52" s="2" t="s">
        <v>371</v>
      </c>
      <c r="W52" s="2" t="s">
        <v>44</v>
      </c>
      <c r="X52" s="2" t="s">
        <v>45</v>
      </c>
      <c r="Y52" s="2"/>
      <c r="Z52" s="2"/>
      <c r="AA52" s="2"/>
      <c r="AB52" s="2"/>
    </row>
    <row r="53" spans="1:28">
      <c r="A53" s="2" t="s">
        <v>28</v>
      </c>
      <c r="B53" s="2" t="s">
        <v>29</v>
      </c>
      <c r="C53" s="2" t="s">
        <v>372</v>
      </c>
      <c r="D53" s="2" t="s">
        <v>373</v>
      </c>
      <c r="E53" s="2"/>
      <c r="F53" s="2" t="s">
        <v>32</v>
      </c>
      <c r="G53" s="2" t="s">
        <v>374</v>
      </c>
      <c r="H53" s="2" t="s">
        <v>375</v>
      </c>
      <c r="I53" s="2" t="s">
        <v>376</v>
      </c>
      <c r="J53" s="2" t="s">
        <v>36</v>
      </c>
      <c r="K53" s="2" t="s">
        <v>36</v>
      </c>
      <c r="L53" s="2" t="s">
        <v>377</v>
      </c>
      <c r="M53" s="2">
        <v>2.4980000000000002</v>
      </c>
      <c r="N53" s="2" t="s">
        <v>53</v>
      </c>
      <c r="O53" s="2" t="s">
        <v>39</v>
      </c>
      <c r="P53" s="2" t="s">
        <v>28</v>
      </c>
      <c r="Q53" s="2" t="s">
        <v>40</v>
      </c>
      <c r="R53" s="2" t="s">
        <v>41</v>
      </c>
      <c r="S53" s="2" t="s">
        <v>42</v>
      </c>
      <c r="T53" s="2">
        <v>88</v>
      </c>
      <c r="U53" s="2">
        <v>1092</v>
      </c>
      <c r="V53" s="2" t="s">
        <v>371</v>
      </c>
      <c r="W53" s="2" t="s">
        <v>44</v>
      </c>
      <c r="X53" s="2" t="s">
        <v>45</v>
      </c>
      <c r="Y53" s="2"/>
      <c r="Z53" s="2"/>
      <c r="AA53" s="2"/>
      <c r="AB53" s="2"/>
    </row>
    <row r="54" spans="1:28">
      <c r="A54" s="2" t="s">
        <v>28</v>
      </c>
      <c r="B54" s="2" t="s">
        <v>29</v>
      </c>
      <c r="C54" s="2" t="s">
        <v>378</v>
      </c>
      <c r="D54" s="2" t="s">
        <v>379</v>
      </c>
      <c r="E54" s="2"/>
      <c r="F54" s="2" t="s">
        <v>48</v>
      </c>
      <c r="G54" s="2" t="s">
        <v>380</v>
      </c>
      <c r="H54" s="2" t="s">
        <v>381</v>
      </c>
      <c r="I54" s="2" t="s">
        <v>382</v>
      </c>
      <c r="J54" s="2" t="s">
        <v>36</v>
      </c>
      <c r="K54" s="2" t="s">
        <v>36</v>
      </c>
      <c r="L54" s="2" t="s">
        <v>383</v>
      </c>
      <c r="M54" s="2">
        <v>2.6459999999999999</v>
      </c>
      <c r="N54" s="2" t="s">
        <v>53</v>
      </c>
      <c r="O54" s="2" t="s">
        <v>165</v>
      </c>
      <c r="P54" s="2" t="s">
        <v>28</v>
      </c>
      <c r="Q54" s="2" t="s">
        <v>40</v>
      </c>
      <c r="R54" s="2" t="s">
        <v>41</v>
      </c>
      <c r="S54" s="2" t="s">
        <v>42</v>
      </c>
      <c r="T54" s="2">
        <v>66</v>
      </c>
      <c r="U54" s="2">
        <v>798</v>
      </c>
      <c r="V54" s="2" t="s">
        <v>166</v>
      </c>
      <c r="W54" s="2" t="s">
        <v>44</v>
      </c>
      <c r="X54" s="2" t="s">
        <v>45</v>
      </c>
      <c r="Y54" s="2"/>
      <c r="Z54" s="2"/>
      <c r="AA54" s="2"/>
      <c r="AB54" s="2"/>
    </row>
    <row r="55" spans="1:28">
      <c r="A55" s="2" t="s">
        <v>28</v>
      </c>
      <c r="B55" s="2" t="s">
        <v>29</v>
      </c>
      <c r="C55" s="2" t="s">
        <v>384</v>
      </c>
      <c r="D55" s="2" t="s">
        <v>385</v>
      </c>
      <c r="E55" s="2" t="s">
        <v>386</v>
      </c>
      <c r="F55" s="2" t="s">
        <v>32</v>
      </c>
      <c r="G55" s="2" t="s">
        <v>387</v>
      </c>
      <c r="H55" s="2" t="s">
        <v>388</v>
      </c>
      <c r="I55" s="2" t="s">
        <v>389</v>
      </c>
      <c r="J55" s="2" t="s">
        <v>36</v>
      </c>
      <c r="K55" s="2" t="s">
        <v>36</v>
      </c>
      <c r="L55" s="2" t="s">
        <v>390</v>
      </c>
      <c r="M55" s="2">
        <v>0.217</v>
      </c>
      <c r="N55" s="2" t="s">
        <v>38</v>
      </c>
      <c r="O55" s="2" t="s">
        <v>39</v>
      </c>
      <c r="P55" s="2" t="s">
        <v>28</v>
      </c>
      <c r="Q55" s="2" t="s">
        <v>40</v>
      </c>
      <c r="R55" s="2" t="s">
        <v>41</v>
      </c>
      <c r="S55" s="2" t="s">
        <v>42</v>
      </c>
      <c r="T55" s="2">
        <v>104</v>
      </c>
      <c r="U55" s="2">
        <v>889</v>
      </c>
      <c r="V55" s="2" t="s">
        <v>43</v>
      </c>
      <c r="W55" s="2" t="s">
        <v>44</v>
      </c>
      <c r="X55" s="2" t="s">
        <v>45</v>
      </c>
      <c r="Y55" s="2"/>
      <c r="Z55" s="2"/>
      <c r="AA55" s="2"/>
      <c r="AB55" s="2"/>
    </row>
    <row r="56" spans="1:28">
      <c r="A56" s="2" t="s">
        <v>28</v>
      </c>
      <c r="B56" s="2" t="s">
        <v>29</v>
      </c>
      <c r="C56" s="2" t="s">
        <v>391</v>
      </c>
      <c r="D56" s="2" t="s">
        <v>392</v>
      </c>
      <c r="E56" s="2"/>
      <c r="F56" s="2" t="s">
        <v>32</v>
      </c>
      <c r="G56" s="2" t="s">
        <v>393</v>
      </c>
      <c r="H56" s="2" t="s">
        <v>394</v>
      </c>
      <c r="I56" s="2" t="s">
        <v>395</v>
      </c>
      <c r="J56" s="2" t="s">
        <v>36</v>
      </c>
      <c r="K56" s="2" t="s">
        <v>36</v>
      </c>
      <c r="L56" s="2" t="s">
        <v>396</v>
      </c>
      <c r="M56" s="2">
        <v>4.41</v>
      </c>
      <c r="N56" s="2" t="s">
        <v>53</v>
      </c>
      <c r="O56" s="2" t="s">
        <v>39</v>
      </c>
      <c r="P56" s="2" t="s">
        <v>28</v>
      </c>
      <c r="Q56" s="2" t="s">
        <v>40</v>
      </c>
      <c r="R56" s="2" t="s">
        <v>41</v>
      </c>
      <c r="S56" s="2" t="s">
        <v>42</v>
      </c>
      <c r="T56" s="2">
        <v>80</v>
      </c>
      <c r="U56" s="2">
        <v>889</v>
      </c>
      <c r="V56" s="2" t="s">
        <v>43</v>
      </c>
      <c r="W56" s="2" t="s">
        <v>44</v>
      </c>
      <c r="X56" s="2" t="s">
        <v>45</v>
      </c>
      <c r="Y56" s="2"/>
      <c r="Z56" s="2"/>
      <c r="AA56" s="2"/>
      <c r="AB56" s="2"/>
    </row>
    <row r="57" spans="1:28">
      <c r="A57" s="2" t="s">
        <v>28</v>
      </c>
      <c r="B57" s="2" t="s">
        <v>29</v>
      </c>
      <c r="C57" s="2" t="s">
        <v>397</v>
      </c>
      <c r="D57" s="2" t="s">
        <v>398</v>
      </c>
      <c r="E57" s="2"/>
      <c r="F57" s="2" t="s">
        <v>32</v>
      </c>
      <c r="G57" s="2" t="s">
        <v>399</v>
      </c>
      <c r="H57" s="2" t="s">
        <v>400</v>
      </c>
      <c r="I57" s="2" t="s">
        <v>401</v>
      </c>
      <c r="J57" s="2" t="s">
        <v>36</v>
      </c>
      <c r="K57" s="2" t="s">
        <v>36</v>
      </c>
      <c r="L57" s="2" t="s">
        <v>402</v>
      </c>
      <c r="M57" s="2">
        <v>1.1459999999999999</v>
      </c>
      <c r="N57" s="2" t="s">
        <v>53</v>
      </c>
      <c r="O57" s="2" t="s">
        <v>165</v>
      </c>
      <c r="P57" s="2" t="s">
        <v>28</v>
      </c>
      <c r="Q57" s="2" t="s">
        <v>40</v>
      </c>
      <c r="R57" s="2" t="s">
        <v>41</v>
      </c>
      <c r="S57" s="2" t="s">
        <v>42</v>
      </c>
      <c r="T57" s="2">
        <v>65</v>
      </c>
      <c r="U57" s="2">
        <v>798</v>
      </c>
      <c r="V57" s="2" t="s">
        <v>166</v>
      </c>
      <c r="W57" s="2" t="s">
        <v>44</v>
      </c>
      <c r="X57" s="2" t="s">
        <v>45</v>
      </c>
      <c r="Y57" s="2"/>
      <c r="Z57" s="2"/>
      <c r="AA57" s="2"/>
      <c r="AB57" s="2"/>
    </row>
    <row r="58" spans="1:28">
      <c r="A58" s="2" t="s">
        <v>28</v>
      </c>
      <c r="B58" s="2" t="s">
        <v>29</v>
      </c>
      <c r="C58" s="2" t="s">
        <v>403</v>
      </c>
      <c r="D58" s="2" t="s">
        <v>404</v>
      </c>
      <c r="E58" s="2"/>
      <c r="F58" s="2" t="s">
        <v>73</v>
      </c>
      <c r="G58" s="2" t="s">
        <v>405</v>
      </c>
      <c r="H58" s="2" t="s">
        <v>406</v>
      </c>
      <c r="I58" s="2" t="s">
        <v>407</v>
      </c>
      <c r="J58" s="2" t="s">
        <v>36</v>
      </c>
      <c r="K58" s="2" t="s">
        <v>36</v>
      </c>
      <c r="L58" s="2" t="s">
        <v>408</v>
      </c>
      <c r="M58" s="2">
        <v>1.091</v>
      </c>
      <c r="N58" s="2" t="s">
        <v>53</v>
      </c>
      <c r="O58" s="2" t="s">
        <v>39</v>
      </c>
      <c r="P58" s="2" t="s">
        <v>28</v>
      </c>
      <c r="Q58" s="2" t="s">
        <v>40</v>
      </c>
      <c r="R58" s="2" t="s">
        <v>41</v>
      </c>
      <c r="S58" s="2" t="s">
        <v>42</v>
      </c>
      <c r="T58" s="2">
        <v>87</v>
      </c>
      <c r="U58" s="2">
        <v>1092</v>
      </c>
      <c r="V58" s="2" t="s">
        <v>371</v>
      </c>
      <c r="W58" s="2" t="s">
        <v>44</v>
      </c>
      <c r="X58" s="2" t="s">
        <v>45</v>
      </c>
      <c r="Y58" s="2"/>
      <c r="Z58" s="2"/>
      <c r="AA58" s="2"/>
      <c r="AB58" s="2"/>
    </row>
    <row r="59" spans="1:28">
      <c r="A59" s="2" t="s">
        <v>28</v>
      </c>
      <c r="B59" s="2" t="s">
        <v>29</v>
      </c>
      <c r="C59" s="2" t="s">
        <v>409</v>
      </c>
      <c r="D59" s="2" t="s">
        <v>410</v>
      </c>
      <c r="E59" s="2"/>
      <c r="F59" s="2" t="s">
        <v>48</v>
      </c>
      <c r="G59" s="2" t="s">
        <v>411</v>
      </c>
      <c r="H59" s="2" t="s">
        <v>412</v>
      </c>
      <c r="I59" s="2" t="s">
        <v>413</v>
      </c>
      <c r="J59" s="2" t="s">
        <v>36</v>
      </c>
      <c r="K59" s="2" t="s">
        <v>36</v>
      </c>
      <c r="L59" s="2" t="s">
        <v>414</v>
      </c>
      <c r="M59" s="2">
        <v>3.7919999999999998</v>
      </c>
      <c r="N59" s="2" t="s">
        <v>53</v>
      </c>
      <c r="O59" s="2" t="s">
        <v>54</v>
      </c>
      <c r="P59" s="2" t="s">
        <v>28</v>
      </c>
      <c r="Q59" s="2" t="s">
        <v>40</v>
      </c>
      <c r="R59" s="2" t="s">
        <v>41</v>
      </c>
      <c r="S59" s="2" t="s">
        <v>42</v>
      </c>
      <c r="T59" s="2">
        <v>67</v>
      </c>
      <c r="U59" s="2">
        <v>870</v>
      </c>
      <c r="V59" s="2" t="s">
        <v>415</v>
      </c>
      <c r="W59" s="2" t="s">
        <v>44</v>
      </c>
      <c r="X59" s="2" t="s">
        <v>45</v>
      </c>
      <c r="Y59" s="2"/>
      <c r="Z59" s="2"/>
      <c r="AA59" s="2"/>
      <c r="AB59" s="2"/>
    </row>
    <row r="60" spans="1:28">
      <c r="A60" s="2" t="s">
        <v>28</v>
      </c>
      <c r="B60" s="2" t="s">
        <v>29</v>
      </c>
      <c r="C60" s="2" t="s">
        <v>416</v>
      </c>
      <c r="D60" s="2" t="s">
        <v>417</v>
      </c>
      <c r="E60" s="2" t="s">
        <v>59</v>
      </c>
      <c r="F60" s="2" t="s">
        <v>48</v>
      </c>
      <c r="G60" s="2" t="s">
        <v>418</v>
      </c>
      <c r="H60" s="2" t="s">
        <v>419</v>
      </c>
      <c r="I60" s="2" t="s">
        <v>420</v>
      </c>
      <c r="J60" s="2" t="s">
        <v>36</v>
      </c>
      <c r="K60" s="2" t="s">
        <v>36</v>
      </c>
      <c r="L60" s="2" t="s">
        <v>421</v>
      </c>
      <c r="M60" s="2">
        <v>1.0580000000000001</v>
      </c>
      <c r="N60" s="2" t="s">
        <v>53</v>
      </c>
      <c r="O60" s="2" t="s">
        <v>54</v>
      </c>
      <c r="P60" s="2" t="s">
        <v>28</v>
      </c>
      <c r="Q60" s="2" t="s">
        <v>40</v>
      </c>
      <c r="R60" s="2" t="s">
        <v>41</v>
      </c>
      <c r="S60" s="2" t="s">
        <v>42</v>
      </c>
      <c r="T60" s="2">
        <v>65</v>
      </c>
      <c r="U60" s="2">
        <v>1018</v>
      </c>
      <c r="V60" s="2" t="s">
        <v>422</v>
      </c>
      <c r="W60" s="2" t="s">
        <v>44</v>
      </c>
      <c r="X60" s="2" t="s">
        <v>45</v>
      </c>
      <c r="Y60" s="2"/>
      <c r="Z60" s="2"/>
      <c r="AA60" s="2"/>
      <c r="AB60" s="2"/>
    </row>
    <row r="61" spans="1:28">
      <c r="A61" s="2" t="s">
        <v>28</v>
      </c>
      <c r="B61" s="2" t="s">
        <v>29</v>
      </c>
      <c r="C61" s="2" t="s">
        <v>423</v>
      </c>
      <c r="D61" s="2" t="s">
        <v>424</v>
      </c>
      <c r="E61" s="2"/>
      <c r="F61" s="2" t="s">
        <v>48</v>
      </c>
      <c r="G61" s="2" t="s">
        <v>425</v>
      </c>
      <c r="H61" s="2" t="s">
        <v>426</v>
      </c>
      <c r="I61" s="2" t="s">
        <v>427</v>
      </c>
      <c r="J61" s="2" t="s">
        <v>36</v>
      </c>
      <c r="K61" s="2" t="s">
        <v>36</v>
      </c>
      <c r="L61" s="2" t="s">
        <v>428</v>
      </c>
      <c r="M61" s="2">
        <v>2.25</v>
      </c>
      <c r="N61" s="2" t="s">
        <v>53</v>
      </c>
      <c r="O61" s="2" t="s">
        <v>39</v>
      </c>
      <c r="P61" s="2" t="s">
        <v>28</v>
      </c>
      <c r="Q61" s="2" t="s">
        <v>40</v>
      </c>
      <c r="R61" s="2" t="s">
        <v>41</v>
      </c>
      <c r="S61" s="2" t="s">
        <v>55</v>
      </c>
      <c r="T61" s="2">
        <v>34</v>
      </c>
      <c r="U61" s="2">
        <v>1104</v>
      </c>
      <c r="V61" s="2" t="s">
        <v>92</v>
      </c>
      <c r="W61" s="2" t="s">
        <v>44</v>
      </c>
      <c r="X61" s="2" t="s">
        <v>45</v>
      </c>
      <c r="Y61" s="2"/>
      <c r="Z61" s="2"/>
      <c r="AA61" s="2"/>
      <c r="AB61" s="2"/>
    </row>
    <row r="62" spans="1:28">
      <c r="A62" s="2" t="s">
        <v>28</v>
      </c>
      <c r="B62" s="2" t="s">
        <v>29</v>
      </c>
      <c r="C62" s="2" t="s">
        <v>429</v>
      </c>
      <c r="D62" s="2" t="s">
        <v>430</v>
      </c>
      <c r="E62" s="2"/>
      <c r="F62" s="2" t="s">
        <v>32</v>
      </c>
      <c r="G62" s="2" t="s">
        <v>431</v>
      </c>
      <c r="H62" s="2" t="s">
        <v>432</v>
      </c>
      <c r="I62" s="2" t="s">
        <v>433</v>
      </c>
      <c r="J62" s="2" t="s">
        <v>36</v>
      </c>
      <c r="K62" s="2" t="s">
        <v>36</v>
      </c>
      <c r="L62" s="2" t="s">
        <v>434</v>
      </c>
      <c r="M62" s="2">
        <v>7.218</v>
      </c>
      <c r="N62" s="2" t="s">
        <v>53</v>
      </c>
      <c r="O62" s="2" t="s">
        <v>54</v>
      </c>
      <c r="P62" s="2" t="s">
        <v>28</v>
      </c>
      <c r="Q62" s="2" t="s">
        <v>40</v>
      </c>
      <c r="R62" s="2" t="s">
        <v>41</v>
      </c>
      <c r="S62" s="2" t="s">
        <v>55</v>
      </c>
      <c r="T62" s="2">
        <v>40</v>
      </c>
      <c r="U62" s="2">
        <v>568</v>
      </c>
      <c r="V62" s="2" t="s">
        <v>56</v>
      </c>
      <c r="W62" s="2" t="s">
        <v>44</v>
      </c>
      <c r="X62" s="2" t="s">
        <v>45</v>
      </c>
      <c r="Y62" s="2"/>
      <c r="Z62" s="2"/>
      <c r="AA62" s="2"/>
      <c r="AB62" s="2"/>
    </row>
    <row r="63" spans="1:28">
      <c r="A63" s="2" t="s">
        <v>28</v>
      </c>
      <c r="B63" s="2" t="s">
        <v>29</v>
      </c>
      <c r="C63" s="2" t="s">
        <v>435</v>
      </c>
      <c r="D63" s="2" t="s">
        <v>436</v>
      </c>
      <c r="E63" s="2"/>
      <c r="F63" s="2" t="s">
        <v>32</v>
      </c>
      <c r="G63" s="2" t="s">
        <v>437</v>
      </c>
      <c r="H63" s="2" t="s">
        <v>438</v>
      </c>
      <c r="I63" s="2" t="s">
        <v>439</v>
      </c>
      <c r="J63" s="2" t="s">
        <v>36</v>
      </c>
      <c r="K63" s="2" t="s">
        <v>36</v>
      </c>
      <c r="L63" s="2" t="s">
        <v>440</v>
      </c>
      <c r="M63" s="2">
        <v>2.02</v>
      </c>
      <c r="N63" s="2" t="s">
        <v>53</v>
      </c>
      <c r="O63" s="2" t="s">
        <v>39</v>
      </c>
      <c r="P63" s="2" t="s">
        <v>28</v>
      </c>
      <c r="Q63" s="2" t="s">
        <v>40</v>
      </c>
      <c r="R63" s="2" t="s">
        <v>41</v>
      </c>
      <c r="S63" s="2" t="s">
        <v>55</v>
      </c>
      <c r="T63" s="2">
        <v>42</v>
      </c>
      <c r="U63" s="2">
        <v>954</v>
      </c>
      <c r="V63" s="2" t="s">
        <v>78</v>
      </c>
      <c r="W63" s="2" t="s">
        <v>44</v>
      </c>
      <c r="X63" s="2" t="s">
        <v>45</v>
      </c>
      <c r="Y63" s="2"/>
      <c r="Z63" s="2"/>
      <c r="AA63" s="2"/>
      <c r="AB63" s="2"/>
    </row>
    <row r="64" spans="1:28">
      <c r="A64" s="2" t="s">
        <v>28</v>
      </c>
      <c r="B64" s="2" t="s">
        <v>29</v>
      </c>
      <c r="C64" s="2" t="s">
        <v>441</v>
      </c>
      <c r="D64" s="2" t="s">
        <v>442</v>
      </c>
      <c r="E64" s="2"/>
      <c r="F64" s="2" t="s">
        <v>73</v>
      </c>
      <c r="G64" s="2" t="s">
        <v>443</v>
      </c>
      <c r="H64" s="2" t="s">
        <v>444</v>
      </c>
      <c r="I64" s="2" t="s">
        <v>445</v>
      </c>
      <c r="J64" s="2" t="s">
        <v>36</v>
      </c>
      <c r="K64" s="2" t="s">
        <v>36</v>
      </c>
      <c r="L64" s="2" t="s">
        <v>446</v>
      </c>
      <c r="M64" s="2">
        <v>0.75</v>
      </c>
      <c r="N64" s="2" t="s">
        <v>38</v>
      </c>
      <c r="O64" s="2" t="s">
        <v>39</v>
      </c>
      <c r="P64" s="2" t="s">
        <v>28</v>
      </c>
      <c r="Q64" s="2" t="s">
        <v>40</v>
      </c>
      <c r="R64" s="2" t="s">
        <v>41</v>
      </c>
      <c r="S64" s="2" t="s">
        <v>42</v>
      </c>
      <c r="T64" s="2">
        <v>83</v>
      </c>
      <c r="U64" s="2">
        <v>889</v>
      </c>
      <c r="V64" s="2" t="s">
        <v>43</v>
      </c>
      <c r="W64" s="2" t="s">
        <v>44</v>
      </c>
      <c r="X64" s="2" t="s">
        <v>45</v>
      </c>
      <c r="Y64" s="2"/>
      <c r="Z64" s="2"/>
      <c r="AA64" s="2"/>
      <c r="AB64" s="2"/>
    </row>
    <row r="65" spans="1:28">
      <c r="A65" s="2" t="s">
        <v>28</v>
      </c>
      <c r="B65" s="2" t="s">
        <v>29</v>
      </c>
      <c r="C65" s="2" t="s">
        <v>447</v>
      </c>
      <c r="D65" s="2" t="s">
        <v>448</v>
      </c>
      <c r="E65" s="2"/>
      <c r="F65" s="2" t="s">
        <v>32</v>
      </c>
      <c r="G65" s="2" t="s">
        <v>449</v>
      </c>
      <c r="H65" s="2" t="s">
        <v>450</v>
      </c>
      <c r="I65" s="2" t="s">
        <v>451</v>
      </c>
      <c r="J65" s="2" t="s">
        <v>36</v>
      </c>
      <c r="K65" s="2" t="s">
        <v>36</v>
      </c>
      <c r="L65" s="2" t="s">
        <v>452</v>
      </c>
      <c r="M65" s="2">
        <v>0.95899999999999996</v>
      </c>
      <c r="N65" s="2" t="s">
        <v>38</v>
      </c>
      <c r="O65" s="2" t="s">
        <v>54</v>
      </c>
      <c r="P65" s="2" t="s">
        <v>28</v>
      </c>
      <c r="Q65" s="2" t="s">
        <v>40</v>
      </c>
      <c r="R65" s="2" t="s">
        <v>41</v>
      </c>
      <c r="S65" s="2" t="s">
        <v>55</v>
      </c>
      <c r="T65" s="2">
        <v>37</v>
      </c>
      <c r="U65" s="2">
        <v>619</v>
      </c>
      <c r="V65" s="2" t="s">
        <v>151</v>
      </c>
      <c r="W65" s="2" t="s">
        <v>44</v>
      </c>
      <c r="X65" s="2" t="s">
        <v>45</v>
      </c>
      <c r="Y65" s="2"/>
      <c r="Z65" s="2"/>
      <c r="AA65" s="2"/>
      <c r="AB65" s="2"/>
    </row>
    <row r="66" spans="1:28">
      <c r="A66" s="2" t="s">
        <v>28</v>
      </c>
      <c r="B66" s="2" t="s">
        <v>29</v>
      </c>
      <c r="C66" s="2" t="s">
        <v>453</v>
      </c>
      <c r="D66" s="2" t="s">
        <v>454</v>
      </c>
      <c r="E66" s="2"/>
      <c r="F66" s="2" t="s">
        <v>32</v>
      </c>
      <c r="G66" s="2" t="s">
        <v>455</v>
      </c>
      <c r="H66" s="2" t="s">
        <v>456</v>
      </c>
      <c r="I66" s="2" t="s">
        <v>457</v>
      </c>
      <c r="J66" s="2" t="s">
        <v>36</v>
      </c>
      <c r="K66" s="2" t="s">
        <v>36</v>
      </c>
      <c r="L66" s="2" t="s">
        <v>458</v>
      </c>
      <c r="M66" s="2">
        <v>0.6</v>
      </c>
      <c r="N66" s="2" t="s">
        <v>38</v>
      </c>
      <c r="O66" s="2" t="s">
        <v>39</v>
      </c>
      <c r="P66" s="2" t="s">
        <v>28</v>
      </c>
      <c r="Q66" s="2" t="s">
        <v>40</v>
      </c>
      <c r="R66" s="2" t="s">
        <v>41</v>
      </c>
      <c r="S66" s="2" t="s">
        <v>55</v>
      </c>
      <c r="T66" s="2">
        <v>41</v>
      </c>
      <c r="U66" s="2">
        <v>1104</v>
      </c>
      <c r="V66" s="2" t="s">
        <v>92</v>
      </c>
      <c r="W66" s="2" t="s">
        <v>44</v>
      </c>
      <c r="X66" s="2" t="s">
        <v>45</v>
      </c>
      <c r="Y66" s="2"/>
      <c r="Z66" s="2"/>
      <c r="AA66" s="2"/>
      <c r="AB66" s="2"/>
    </row>
    <row r="67" spans="1:28">
      <c r="A67" s="2" t="s">
        <v>28</v>
      </c>
      <c r="B67" s="2" t="s">
        <v>29</v>
      </c>
      <c r="C67" s="2" t="s">
        <v>459</v>
      </c>
      <c r="D67" s="2" t="s">
        <v>460</v>
      </c>
      <c r="E67" s="2"/>
      <c r="F67" s="2" t="s">
        <v>32</v>
      </c>
      <c r="G67" s="2" t="s">
        <v>461</v>
      </c>
      <c r="H67" s="2" t="s">
        <v>462</v>
      </c>
      <c r="I67" s="2" t="s">
        <v>463</v>
      </c>
      <c r="J67" s="2" t="s">
        <v>36</v>
      </c>
      <c r="K67" s="2" t="s">
        <v>36</v>
      </c>
      <c r="L67" s="2" t="s">
        <v>464</v>
      </c>
      <c r="M67" s="2">
        <v>7.0000000000000007E-2</v>
      </c>
      <c r="N67" s="2" t="s">
        <v>38</v>
      </c>
      <c r="O67" s="2" t="s">
        <v>39</v>
      </c>
      <c r="P67" s="2" t="s">
        <v>28</v>
      </c>
      <c r="Q67" s="2" t="s">
        <v>40</v>
      </c>
      <c r="R67" s="2" t="s">
        <v>41</v>
      </c>
      <c r="S67" s="2" t="s">
        <v>42</v>
      </c>
      <c r="T67" s="2">
        <v>108</v>
      </c>
      <c r="U67" s="2">
        <v>889</v>
      </c>
      <c r="V67" s="2" t="s">
        <v>43</v>
      </c>
      <c r="W67" s="2" t="s">
        <v>44</v>
      </c>
      <c r="X67" s="2" t="s">
        <v>45</v>
      </c>
      <c r="Y67" s="2"/>
      <c r="Z67" s="2"/>
      <c r="AA67" s="2"/>
      <c r="AB67" s="2"/>
    </row>
    <row r="68" spans="1:28">
      <c r="A68" s="2" t="s">
        <v>28</v>
      </c>
      <c r="B68" s="2" t="s">
        <v>29</v>
      </c>
      <c r="C68" s="2" t="s">
        <v>465</v>
      </c>
      <c r="D68" s="2" t="s">
        <v>466</v>
      </c>
      <c r="E68" s="2"/>
      <c r="F68" s="2" t="s">
        <v>32</v>
      </c>
      <c r="G68" s="2" t="s">
        <v>467</v>
      </c>
      <c r="H68" s="2" t="s">
        <v>468</v>
      </c>
      <c r="I68" s="2" t="s">
        <v>469</v>
      </c>
      <c r="J68" s="2" t="s">
        <v>36</v>
      </c>
      <c r="K68" s="2" t="s">
        <v>36</v>
      </c>
      <c r="L68" s="2" t="s">
        <v>470</v>
      </c>
      <c r="M68" s="2">
        <v>0.98099999999999998</v>
      </c>
      <c r="N68" s="2" t="s">
        <v>38</v>
      </c>
      <c r="O68" s="2" t="s">
        <v>54</v>
      </c>
      <c r="P68" s="2" t="s">
        <v>28</v>
      </c>
      <c r="Q68" s="2" t="s">
        <v>40</v>
      </c>
      <c r="R68" s="2" t="s">
        <v>41</v>
      </c>
      <c r="S68" s="2" t="s">
        <v>55</v>
      </c>
      <c r="T68" s="2">
        <v>37</v>
      </c>
      <c r="U68" s="2">
        <v>619</v>
      </c>
      <c r="V68" s="2" t="s">
        <v>151</v>
      </c>
      <c r="W68" s="2" t="s">
        <v>44</v>
      </c>
      <c r="X68" s="2" t="s">
        <v>45</v>
      </c>
      <c r="Y68" s="2"/>
      <c r="Z68" s="2"/>
      <c r="AA68" s="2"/>
      <c r="AB68" s="2"/>
    </row>
    <row r="69" spans="1:28">
      <c r="A69" s="2" t="s">
        <v>28</v>
      </c>
      <c r="B69" s="2" t="s">
        <v>29</v>
      </c>
      <c r="C69" s="2" t="s">
        <v>471</v>
      </c>
      <c r="D69" s="2" t="s">
        <v>472</v>
      </c>
      <c r="E69" s="2"/>
      <c r="F69" s="2" t="s">
        <v>73</v>
      </c>
      <c r="G69" s="2" t="s">
        <v>473</v>
      </c>
      <c r="H69" s="2" t="s">
        <v>474</v>
      </c>
      <c r="I69" s="2" t="s">
        <v>475</v>
      </c>
      <c r="J69" s="2" t="s">
        <v>36</v>
      </c>
      <c r="K69" s="2" t="s">
        <v>36</v>
      </c>
      <c r="L69" s="2" t="s">
        <v>476</v>
      </c>
      <c r="M69" s="2">
        <v>0.66</v>
      </c>
      <c r="N69" s="2" t="s">
        <v>38</v>
      </c>
      <c r="O69" s="2" t="s">
        <v>39</v>
      </c>
      <c r="P69" s="2" t="s">
        <v>28</v>
      </c>
      <c r="Q69" s="2" t="s">
        <v>40</v>
      </c>
      <c r="R69" s="2" t="s">
        <v>41</v>
      </c>
      <c r="S69" s="2" t="s">
        <v>42</v>
      </c>
      <c r="T69" s="2">
        <v>78</v>
      </c>
      <c r="U69" s="2">
        <v>889</v>
      </c>
      <c r="V69" s="2" t="s">
        <v>43</v>
      </c>
      <c r="W69" s="2" t="s">
        <v>44</v>
      </c>
      <c r="X69" s="2" t="s">
        <v>45</v>
      </c>
      <c r="Y69" s="2"/>
      <c r="Z69" s="2"/>
      <c r="AA69" s="2"/>
      <c r="AB69" s="2"/>
    </row>
    <row r="70" spans="1:28">
      <c r="A70" s="2" t="s">
        <v>28</v>
      </c>
      <c r="B70" s="2" t="s">
        <v>29</v>
      </c>
      <c r="C70" s="2" t="s">
        <v>477</v>
      </c>
      <c r="D70" s="2" t="s">
        <v>478</v>
      </c>
      <c r="E70" s="2"/>
      <c r="F70" s="2" t="s">
        <v>32</v>
      </c>
      <c r="G70" s="2" t="s">
        <v>479</v>
      </c>
      <c r="H70" s="2" t="s">
        <v>480</v>
      </c>
      <c r="I70" s="2" t="s">
        <v>481</v>
      </c>
      <c r="J70" s="2" t="s">
        <v>36</v>
      </c>
      <c r="K70" s="2" t="s">
        <v>36</v>
      </c>
      <c r="L70" s="2" t="s">
        <v>482</v>
      </c>
      <c r="M70" s="2">
        <v>0.61699999999999999</v>
      </c>
      <c r="N70" s="2" t="s">
        <v>38</v>
      </c>
      <c r="O70" s="2" t="s">
        <v>54</v>
      </c>
      <c r="P70" s="2" t="s">
        <v>28</v>
      </c>
      <c r="Q70" s="2" t="s">
        <v>40</v>
      </c>
      <c r="R70" s="2" t="s">
        <v>41</v>
      </c>
      <c r="S70" s="2" t="s">
        <v>42</v>
      </c>
      <c r="T70" s="2">
        <v>61</v>
      </c>
      <c r="U70" s="2">
        <v>508</v>
      </c>
      <c r="V70" s="2" t="s">
        <v>85</v>
      </c>
      <c r="W70" s="2" t="s">
        <v>44</v>
      </c>
      <c r="X70" s="2" t="s">
        <v>45</v>
      </c>
      <c r="Y70" s="2"/>
      <c r="Z70" s="2"/>
      <c r="AA70" s="2"/>
      <c r="AB70" s="2"/>
    </row>
    <row r="71" spans="1:28">
      <c r="A71" s="2" t="s">
        <v>28</v>
      </c>
      <c r="B71" s="2" t="s">
        <v>29</v>
      </c>
      <c r="C71" s="2" t="s">
        <v>483</v>
      </c>
      <c r="D71" s="2" t="s">
        <v>484</v>
      </c>
      <c r="E71" s="2"/>
      <c r="F71" s="2" t="s">
        <v>32</v>
      </c>
      <c r="G71" s="2" t="s">
        <v>485</v>
      </c>
      <c r="H71" s="2" t="s">
        <v>486</v>
      </c>
      <c r="I71" s="2" t="s">
        <v>487</v>
      </c>
      <c r="J71" s="2" t="s">
        <v>36</v>
      </c>
      <c r="K71" s="2" t="s">
        <v>36</v>
      </c>
      <c r="L71" s="2" t="s">
        <v>488</v>
      </c>
      <c r="M71" s="2">
        <v>0.11</v>
      </c>
      <c r="N71" s="2" t="s">
        <v>38</v>
      </c>
      <c r="O71" s="2" t="s">
        <v>39</v>
      </c>
      <c r="P71" s="2" t="s">
        <v>28</v>
      </c>
      <c r="Q71" s="2" t="s">
        <v>40</v>
      </c>
      <c r="R71" s="2" t="s">
        <v>41</v>
      </c>
      <c r="S71" s="2" t="s">
        <v>55</v>
      </c>
      <c r="T71" s="2">
        <v>40</v>
      </c>
      <c r="U71" s="2">
        <v>954</v>
      </c>
      <c r="V71" s="2" t="s">
        <v>78</v>
      </c>
      <c r="W71" s="2" t="s">
        <v>44</v>
      </c>
      <c r="X71" s="2" t="s">
        <v>45</v>
      </c>
      <c r="Y71" s="2"/>
      <c r="Z71" s="2"/>
      <c r="AA71" s="2"/>
      <c r="AB71" s="2"/>
    </row>
    <row r="72" spans="1:28">
      <c r="A72" s="2" t="s">
        <v>28</v>
      </c>
      <c r="B72" s="2" t="s">
        <v>29</v>
      </c>
      <c r="C72" s="2" t="s">
        <v>489</v>
      </c>
      <c r="D72" s="2" t="s">
        <v>490</v>
      </c>
      <c r="E72" s="2"/>
      <c r="F72" s="2" t="s">
        <v>73</v>
      </c>
      <c r="G72" s="2" t="s">
        <v>491</v>
      </c>
      <c r="H72" s="2" t="s">
        <v>492</v>
      </c>
      <c r="I72" s="2" t="s">
        <v>493</v>
      </c>
      <c r="J72" s="2" t="s">
        <v>36</v>
      </c>
      <c r="K72" s="2" t="s">
        <v>36</v>
      </c>
      <c r="L72" s="2" t="s">
        <v>494</v>
      </c>
      <c r="M72" s="2">
        <v>0.35</v>
      </c>
      <c r="N72" s="2" t="s">
        <v>38</v>
      </c>
      <c r="O72" s="2" t="s">
        <v>39</v>
      </c>
      <c r="P72" s="2" t="s">
        <v>28</v>
      </c>
      <c r="Q72" s="2" t="s">
        <v>40</v>
      </c>
      <c r="R72" s="2" t="s">
        <v>41</v>
      </c>
      <c r="S72" s="2" t="s">
        <v>42</v>
      </c>
      <c r="T72" s="2">
        <v>108</v>
      </c>
      <c r="U72" s="2">
        <v>889</v>
      </c>
      <c r="V72" s="2" t="s">
        <v>43</v>
      </c>
      <c r="W72" s="2" t="s">
        <v>44</v>
      </c>
      <c r="X72" s="2" t="s">
        <v>45</v>
      </c>
      <c r="Y72" s="2"/>
      <c r="Z72" s="2"/>
      <c r="AA72" s="2"/>
      <c r="AB72" s="2"/>
    </row>
    <row r="73" spans="1:28">
      <c r="A73" s="2" t="s">
        <v>28</v>
      </c>
      <c r="B73" s="2" t="s">
        <v>29</v>
      </c>
      <c r="C73" s="2" t="s">
        <v>495</v>
      </c>
      <c r="D73" s="2" t="s">
        <v>496</v>
      </c>
      <c r="E73" s="2"/>
      <c r="F73" s="2" t="s">
        <v>32</v>
      </c>
      <c r="G73" s="2" t="s">
        <v>497</v>
      </c>
      <c r="H73" s="2" t="s">
        <v>498</v>
      </c>
      <c r="I73" s="2" t="s">
        <v>499</v>
      </c>
      <c r="J73" s="2" t="s">
        <v>36</v>
      </c>
      <c r="K73" s="2" t="s">
        <v>36</v>
      </c>
      <c r="L73" s="2" t="s">
        <v>500</v>
      </c>
      <c r="M73" s="2">
        <v>0.3</v>
      </c>
      <c r="N73" s="2" t="s">
        <v>38</v>
      </c>
      <c r="O73" s="2" t="s">
        <v>39</v>
      </c>
      <c r="P73" s="2" t="s">
        <v>28</v>
      </c>
      <c r="Q73" s="2" t="s">
        <v>40</v>
      </c>
      <c r="R73" s="2" t="s">
        <v>41</v>
      </c>
      <c r="S73" s="2" t="s">
        <v>42</v>
      </c>
      <c r="T73" s="2">
        <v>82</v>
      </c>
      <c r="U73" s="2">
        <v>889</v>
      </c>
      <c r="V73" s="2" t="s">
        <v>43</v>
      </c>
      <c r="W73" s="2" t="s">
        <v>44</v>
      </c>
      <c r="X73" s="2" t="s">
        <v>45</v>
      </c>
      <c r="Y73" s="2"/>
      <c r="Z73" s="2"/>
      <c r="AA73" s="2"/>
      <c r="AB73" s="2"/>
    </row>
    <row r="74" spans="1:28">
      <c r="A74" s="2" t="s">
        <v>28</v>
      </c>
      <c r="B74" s="2" t="s">
        <v>29</v>
      </c>
      <c r="C74" s="2" t="s">
        <v>501</v>
      </c>
      <c r="D74" s="2" t="s">
        <v>502</v>
      </c>
      <c r="E74" s="2" t="s">
        <v>503</v>
      </c>
      <c r="F74" s="2" t="s">
        <v>32</v>
      </c>
      <c r="G74" s="2" t="s">
        <v>504</v>
      </c>
      <c r="H74" s="2" t="s">
        <v>505</v>
      </c>
      <c r="I74" s="2" t="s">
        <v>506</v>
      </c>
      <c r="J74" s="2" t="s">
        <v>36</v>
      </c>
      <c r="K74" s="2" t="s">
        <v>36</v>
      </c>
      <c r="L74" s="2" t="s">
        <v>507</v>
      </c>
      <c r="M74" s="2">
        <v>0.17</v>
      </c>
      <c r="N74" s="2" t="s">
        <v>38</v>
      </c>
      <c r="O74" s="2" t="s">
        <v>54</v>
      </c>
      <c r="P74" s="2" t="s">
        <v>28</v>
      </c>
      <c r="Q74" s="2" t="s">
        <v>40</v>
      </c>
      <c r="R74" s="2" t="s">
        <v>41</v>
      </c>
      <c r="S74" s="2" t="s">
        <v>55</v>
      </c>
      <c r="T74" s="2">
        <v>37</v>
      </c>
      <c r="U74" s="2">
        <v>619</v>
      </c>
      <c r="V74" s="2" t="s">
        <v>151</v>
      </c>
      <c r="W74" s="2" t="s">
        <v>44</v>
      </c>
      <c r="X74" s="2" t="s">
        <v>45</v>
      </c>
      <c r="Y74" s="2"/>
      <c r="Z74" s="2"/>
      <c r="AA74" s="2"/>
      <c r="AB74" s="2"/>
    </row>
    <row r="75" spans="1:28">
      <c r="A75" s="2" t="s">
        <v>28</v>
      </c>
      <c r="B75" s="2" t="s">
        <v>29</v>
      </c>
      <c r="C75" s="2" t="s">
        <v>508</v>
      </c>
      <c r="D75" s="2" t="s">
        <v>509</v>
      </c>
      <c r="E75" s="2" t="s">
        <v>378</v>
      </c>
      <c r="F75" s="2" t="s">
        <v>32</v>
      </c>
      <c r="G75" s="2" t="s">
        <v>510</v>
      </c>
      <c r="H75" s="2" t="s">
        <v>511</v>
      </c>
      <c r="I75" s="2" t="s">
        <v>512</v>
      </c>
      <c r="J75" s="2" t="s">
        <v>36</v>
      </c>
      <c r="K75" s="2" t="s">
        <v>36</v>
      </c>
      <c r="L75" s="2" t="s">
        <v>513</v>
      </c>
      <c r="M75" s="2">
        <v>0.24299999999999999</v>
      </c>
      <c r="N75" s="2" t="s">
        <v>38</v>
      </c>
      <c r="O75" s="2" t="s">
        <v>54</v>
      </c>
      <c r="P75" s="2" t="s">
        <v>28</v>
      </c>
      <c r="Q75" s="2" t="s">
        <v>40</v>
      </c>
      <c r="R75" s="2" t="s">
        <v>41</v>
      </c>
      <c r="S75" s="2" t="s">
        <v>55</v>
      </c>
      <c r="T75" s="2">
        <v>40</v>
      </c>
      <c r="U75" s="2">
        <v>619</v>
      </c>
      <c r="V75" s="2" t="s">
        <v>151</v>
      </c>
      <c r="W75" s="2" t="s">
        <v>44</v>
      </c>
      <c r="X75" s="2" t="s">
        <v>45</v>
      </c>
      <c r="Y75" s="2"/>
      <c r="Z75" s="2"/>
      <c r="AA75" s="2"/>
      <c r="AB75" s="2"/>
    </row>
    <row r="76" spans="1:28">
      <c r="A76" s="2" t="s">
        <v>28</v>
      </c>
      <c r="B76" s="2" t="s">
        <v>29</v>
      </c>
      <c r="C76" s="2" t="s">
        <v>514</v>
      </c>
      <c r="D76" s="2" t="s">
        <v>515</v>
      </c>
      <c r="E76" s="2"/>
      <c r="F76" s="2" t="s">
        <v>32</v>
      </c>
      <c r="G76" s="2" t="s">
        <v>516</v>
      </c>
      <c r="H76" s="2" t="s">
        <v>517</v>
      </c>
      <c r="I76" s="2" t="s">
        <v>518</v>
      </c>
      <c r="J76" s="2" t="s">
        <v>36</v>
      </c>
      <c r="K76" s="2" t="s">
        <v>36</v>
      </c>
      <c r="L76" s="2" t="s">
        <v>519</v>
      </c>
      <c r="M76" s="2">
        <v>1.3340000000000001</v>
      </c>
      <c r="N76" s="2" t="s">
        <v>53</v>
      </c>
      <c r="O76" s="2" t="s">
        <v>39</v>
      </c>
      <c r="P76" s="2" t="s">
        <v>28</v>
      </c>
      <c r="Q76" s="2" t="s">
        <v>40</v>
      </c>
      <c r="R76" s="2" t="s">
        <v>41</v>
      </c>
      <c r="S76" s="2" t="s">
        <v>42</v>
      </c>
      <c r="T76" s="2">
        <v>104</v>
      </c>
      <c r="U76" s="2">
        <v>889</v>
      </c>
      <c r="V76" s="2" t="s">
        <v>43</v>
      </c>
      <c r="W76" s="2" t="s">
        <v>44</v>
      </c>
      <c r="X76" s="2" t="s">
        <v>45</v>
      </c>
      <c r="Y76" s="2"/>
      <c r="Z76" s="2"/>
      <c r="AA76" s="2"/>
      <c r="AB76" s="2"/>
    </row>
    <row r="77" spans="1:28">
      <c r="A77" s="2" t="s">
        <v>28</v>
      </c>
      <c r="B77" s="2" t="s">
        <v>29</v>
      </c>
      <c r="C77" s="2" t="s">
        <v>520</v>
      </c>
      <c r="D77" s="2" t="s">
        <v>521</v>
      </c>
      <c r="E77" s="2"/>
      <c r="F77" s="2" t="s">
        <v>32</v>
      </c>
      <c r="G77" s="2" t="s">
        <v>522</v>
      </c>
      <c r="H77" s="2" t="s">
        <v>523</v>
      </c>
      <c r="I77" s="2" t="s">
        <v>524</v>
      </c>
      <c r="J77" s="2" t="s">
        <v>36</v>
      </c>
      <c r="K77" s="2" t="s">
        <v>36</v>
      </c>
      <c r="L77" s="2" t="s">
        <v>525</v>
      </c>
      <c r="M77" s="2">
        <v>9.9209999999999994</v>
      </c>
      <c r="N77" s="2" t="s">
        <v>53</v>
      </c>
      <c r="O77" s="2" t="s">
        <v>54</v>
      </c>
      <c r="P77" s="2" t="s">
        <v>28</v>
      </c>
      <c r="Q77" s="2" t="s">
        <v>40</v>
      </c>
      <c r="R77" s="2" t="s">
        <v>41</v>
      </c>
      <c r="S77" s="2" t="s">
        <v>42</v>
      </c>
      <c r="T77" s="2">
        <v>68</v>
      </c>
      <c r="U77" s="2">
        <v>870</v>
      </c>
      <c r="V77" s="2" t="s">
        <v>415</v>
      </c>
      <c r="W77" s="2" t="s">
        <v>44</v>
      </c>
      <c r="X77" s="2" t="s">
        <v>45</v>
      </c>
      <c r="Y77" s="2"/>
      <c r="Z77" s="2"/>
      <c r="AA77" s="2"/>
      <c r="AB77" s="2"/>
    </row>
    <row r="78" spans="1:28">
      <c r="A78" s="2" t="s">
        <v>28</v>
      </c>
      <c r="B78" s="2" t="s">
        <v>29</v>
      </c>
      <c r="C78" s="2" t="s">
        <v>526</v>
      </c>
      <c r="D78" s="2" t="s">
        <v>527</v>
      </c>
      <c r="E78" s="2"/>
      <c r="F78" s="2" t="s">
        <v>73</v>
      </c>
      <c r="G78" s="2" t="s">
        <v>528</v>
      </c>
      <c r="H78" s="2" t="s">
        <v>529</v>
      </c>
      <c r="I78" s="2" t="s">
        <v>530</v>
      </c>
      <c r="J78" s="2" t="s">
        <v>36</v>
      </c>
      <c r="K78" s="2" t="s">
        <v>36</v>
      </c>
      <c r="L78" s="2" t="s">
        <v>531</v>
      </c>
      <c r="M78" s="2">
        <v>3.1309999999999998</v>
      </c>
      <c r="N78" s="2" t="s">
        <v>53</v>
      </c>
      <c r="O78" s="2" t="s">
        <v>165</v>
      </c>
      <c r="P78" s="2" t="s">
        <v>28</v>
      </c>
      <c r="Q78" s="2" t="s">
        <v>40</v>
      </c>
      <c r="R78" s="2" t="s">
        <v>41</v>
      </c>
      <c r="S78" s="2" t="s">
        <v>42</v>
      </c>
      <c r="T78" s="2">
        <v>65</v>
      </c>
      <c r="U78" s="2">
        <v>798</v>
      </c>
      <c r="V78" s="2" t="s">
        <v>166</v>
      </c>
      <c r="W78" s="2" t="s">
        <v>44</v>
      </c>
      <c r="X78" s="2" t="s">
        <v>45</v>
      </c>
      <c r="Y78" s="2"/>
      <c r="Z78" s="2"/>
      <c r="AA78" s="2"/>
      <c r="AB78" s="2"/>
    </row>
    <row r="79" spans="1:28">
      <c r="A79" s="2" t="s">
        <v>28</v>
      </c>
      <c r="B79" s="2" t="s">
        <v>29</v>
      </c>
      <c r="C79" s="2" t="s">
        <v>532</v>
      </c>
      <c r="D79" s="2" t="s">
        <v>533</v>
      </c>
      <c r="E79" s="2" t="s">
        <v>384</v>
      </c>
      <c r="F79" s="2" t="s">
        <v>32</v>
      </c>
      <c r="G79" s="2" t="s">
        <v>534</v>
      </c>
      <c r="H79" s="2" t="s">
        <v>535</v>
      </c>
      <c r="I79" s="2" t="s">
        <v>536</v>
      </c>
      <c r="J79" s="2" t="s">
        <v>36</v>
      </c>
      <c r="K79" s="2" t="s">
        <v>36</v>
      </c>
      <c r="L79" s="2" t="s">
        <v>537</v>
      </c>
      <c r="M79" s="2">
        <v>0.218</v>
      </c>
      <c r="N79" s="2" t="s">
        <v>38</v>
      </c>
      <c r="O79" s="2" t="s">
        <v>54</v>
      </c>
      <c r="P79" s="2" t="s">
        <v>28</v>
      </c>
      <c r="Q79" s="2" t="s">
        <v>40</v>
      </c>
      <c r="R79" s="2" t="s">
        <v>41</v>
      </c>
      <c r="S79" s="2" t="s">
        <v>55</v>
      </c>
      <c r="T79" s="2">
        <v>34</v>
      </c>
      <c r="U79" s="2">
        <v>619</v>
      </c>
      <c r="V79" s="2" t="s">
        <v>151</v>
      </c>
      <c r="W79" s="2" t="s">
        <v>44</v>
      </c>
      <c r="X79" s="2" t="s">
        <v>45</v>
      </c>
      <c r="Y79" s="2"/>
      <c r="Z79" s="2"/>
      <c r="AA79" s="2"/>
      <c r="AB79" s="2"/>
    </row>
    <row r="80" spans="1:28">
      <c r="A80" s="2" t="s">
        <v>28</v>
      </c>
      <c r="B80" s="2" t="s">
        <v>29</v>
      </c>
      <c r="C80" s="2" t="s">
        <v>538</v>
      </c>
      <c r="D80" s="2" t="s">
        <v>539</v>
      </c>
      <c r="E80" s="2"/>
      <c r="F80" s="2" t="s">
        <v>73</v>
      </c>
      <c r="G80" s="2" t="s">
        <v>540</v>
      </c>
      <c r="H80" s="2" t="s">
        <v>541</v>
      </c>
      <c r="I80" s="2" t="s">
        <v>542</v>
      </c>
      <c r="J80" s="2" t="s">
        <v>36</v>
      </c>
      <c r="K80" s="2" t="s">
        <v>36</v>
      </c>
      <c r="L80" s="2" t="s">
        <v>543</v>
      </c>
      <c r="M80" s="2">
        <v>5.6</v>
      </c>
      <c r="N80" s="2" t="s">
        <v>53</v>
      </c>
      <c r="O80" s="2" t="s">
        <v>39</v>
      </c>
      <c r="P80" s="2" t="s">
        <v>28</v>
      </c>
      <c r="Q80" s="2" t="s">
        <v>40</v>
      </c>
      <c r="R80" s="2" t="s">
        <v>41</v>
      </c>
      <c r="S80" s="2" t="s">
        <v>42</v>
      </c>
      <c r="T80" s="2">
        <v>86</v>
      </c>
      <c r="U80" s="2">
        <v>1087</v>
      </c>
      <c r="V80" s="2" t="s">
        <v>544</v>
      </c>
      <c r="W80" s="2" t="s">
        <v>44</v>
      </c>
      <c r="X80" s="2" t="s">
        <v>45</v>
      </c>
      <c r="Y80" s="2"/>
      <c r="Z80" s="2"/>
      <c r="AA80" s="2"/>
      <c r="AB80" s="2"/>
    </row>
    <row r="81" spans="1:28">
      <c r="A81" s="2" t="s">
        <v>28</v>
      </c>
      <c r="B81" s="2" t="s">
        <v>29</v>
      </c>
      <c r="C81" s="2" t="s">
        <v>545</v>
      </c>
      <c r="D81" s="2" t="s">
        <v>546</v>
      </c>
      <c r="E81" s="2"/>
      <c r="F81" s="2" t="s">
        <v>32</v>
      </c>
      <c r="G81" s="2" t="s">
        <v>547</v>
      </c>
      <c r="H81" s="2" t="s">
        <v>548</v>
      </c>
      <c r="I81" s="2" t="s">
        <v>549</v>
      </c>
      <c r="J81" s="2" t="s">
        <v>36</v>
      </c>
      <c r="K81" s="2" t="s">
        <v>36</v>
      </c>
      <c r="L81" s="2" t="s">
        <v>550</v>
      </c>
      <c r="M81" s="2">
        <v>0.56999999999999995</v>
      </c>
      <c r="N81" s="2" t="s">
        <v>38</v>
      </c>
      <c r="O81" s="2" t="s">
        <v>39</v>
      </c>
      <c r="P81" s="2" t="s">
        <v>28</v>
      </c>
      <c r="Q81" s="2" t="s">
        <v>40</v>
      </c>
      <c r="R81" s="2" t="s">
        <v>41</v>
      </c>
      <c r="S81" s="2" t="s">
        <v>42</v>
      </c>
      <c r="T81" s="2">
        <v>80</v>
      </c>
      <c r="U81" s="2">
        <v>889</v>
      </c>
      <c r="V81" s="2" t="s">
        <v>43</v>
      </c>
      <c r="W81" s="2" t="s">
        <v>44</v>
      </c>
      <c r="X81" s="2" t="s">
        <v>45</v>
      </c>
      <c r="Y81" s="2"/>
      <c r="Z81" s="2"/>
      <c r="AA81" s="2"/>
      <c r="AB81" s="2"/>
    </row>
    <row r="82" spans="1:28">
      <c r="A82" s="2" t="s">
        <v>28</v>
      </c>
      <c r="B82" s="2" t="s">
        <v>29</v>
      </c>
      <c r="C82" s="2" t="s">
        <v>551</v>
      </c>
      <c r="D82" s="2" t="s">
        <v>552</v>
      </c>
      <c r="E82" s="2" t="s">
        <v>553</v>
      </c>
      <c r="F82" s="2" t="s">
        <v>32</v>
      </c>
      <c r="G82" s="2" t="s">
        <v>554</v>
      </c>
      <c r="H82" s="2" t="s">
        <v>555</v>
      </c>
      <c r="I82" s="2" t="s">
        <v>556</v>
      </c>
      <c r="J82" s="2" t="s">
        <v>36</v>
      </c>
      <c r="K82" s="2" t="s">
        <v>36</v>
      </c>
      <c r="L82" s="2" t="s">
        <v>557</v>
      </c>
      <c r="M82" s="2">
        <v>1.2350000000000001</v>
      </c>
      <c r="N82" s="2" t="s">
        <v>53</v>
      </c>
      <c r="O82" s="2" t="s">
        <v>54</v>
      </c>
      <c r="P82" s="2" t="s">
        <v>28</v>
      </c>
      <c r="Q82" s="2" t="s">
        <v>40</v>
      </c>
      <c r="R82" s="2" t="s">
        <v>41</v>
      </c>
      <c r="S82" s="2" t="s">
        <v>42</v>
      </c>
      <c r="T82" s="2">
        <v>64</v>
      </c>
      <c r="U82" s="2">
        <v>1018</v>
      </c>
      <c r="V82" s="2" t="s">
        <v>422</v>
      </c>
      <c r="W82" s="2" t="s">
        <v>44</v>
      </c>
      <c r="X82" s="2" t="s">
        <v>45</v>
      </c>
      <c r="Y82" s="2"/>
      <c r="Z82" s="2"/>
      <c r="AA82" s="2"/>
      <c r="AB82" s="2"/>
    </row>
    <row r="83" spans="1:28">
      <c r="A83" s="2" t="s">
        <v>28</v>
      </c>
      <c r="B83" s="2" t="s">
        <v>29</v>
      </c>
      <c r="C83" s="2" t="s">
        <v>558</v>
      </c>
      <c r="D83" s="2" t="s">
        <v>559</v>
      </c>
      <c r="E83" s="2"/>
      <c r="F83" s="2" t="s">
        <v>73</v>
      </c>
      <c r="G83" s="2" t="s">
        <v>560</v>
      </c>
      <c r="H83" s="2" t="s">
        <v>561</v>
      </c>
      <c r="I83" s="2" t="s">
        <v>562</v>
      </c>
      <c r="J83" s="2" t="s">
        <v>36</v>
      </c>
      <c r="K83" s="2" t="s">
        <v>36</v>
      </c>
      <c r="L83" s="2" t="s">
        <v>563</v>
      </c>
      <c r="M83" s="2">
        <v>0.1</v>
      </c>
      <c r="N83" s="2" t="s">
        <v>38</v>
      </c>
      <c r="O83" s="2" t="s">
        <v>39</v>
      </c>
      <c r="P83" s="2" t="s">
        <v>28</v>
      </c>
      <c r="Q83" s="2" t="s">
        <v>40</v>
      </c>
      <c r="R83" s="2" t="s">
        <v>41</v>
      </c>
      <c r="S83" s="2" t="s">
        <v>55</v>
      </c>
      <c r="T83" s="2">
        <v>43</v>
      </c>
      <c r="U83" s="2">
        <v>954</v>
      </c>
      <c r="V83" s="2" t="s">
        <v>78</v>
      </c>
      <c r="W83" s="2" t="s">
        <v>44</v>
      </c>
      <c r="X83" s="2" t="s">
        <v>45</v>
      </c>
      <c r="Y83" s="2"/>
      <c r="Z83" s="2"/>
      <c r="AA83" s="2"/>
      <c r="AB83" s="2"/>
    </row>
    <row r="84" spans="1:28">
      <c r="A84" s="2" t="s">
        <v>28</v>
      </c>
      <c r="B84" s="2" t="s">
        <v>29</v>
      </c>
      <c r="C84" s="2" t="s">
        <v>564</v>
      </c>
      <c r="D84" s="2" t="s">
        <v>565</v>
      </c>
      <c r="E84" s="2" t="s">
        <v>566</v>
      </c>
      <c r="F84" s="2" t="s">
        <v>48</v>
      </c>
      <c r="G84" s="2" t="s">
        <v>567</v>
      </c>
      <c r="H84" s="2" t="s">
        <v>568</v>
      </c>
      <c r="I84" s="2" t="s">
        <v>569</v>
      </c>
      <c r="J84" s="2" t="s">
        <v>36</v>
      </c>
      <c r="K84" s="2" t="s">
        <v>36</v>
      </c>
      <c r="L84" s="2" t="s">
        <v>570</v>
      </c>
      <c r="M84" s="2">
        <v>0.56200000000000006</v>
      </c>
      <c r="N84" s="2" t="s">
        <v>38</v>
      </c>
      <c r="O84" s="2" t="s">
        <v>39</v>
      </c>
      <c r="P84" s="2" t="s">
        <v>28</v>
      </c>
      <c r="Q84" s="2" t="s">
        <v>40</v>
      </c>
      <c r="R84" s="2" t="s">
        <v>41</v>
      </c>
      <c r="S84" s="2" t="s">
        <v>42</v>
      </c>
      <c r="T84" s="2">
        <v>108</v>
      </c>
      <c r="U84" s="2">
        <v>1092</v>
      </c>
      <c r="V84" s="2" t="s">
        <v>371</v>
      </c>
      <c r="W84" s="2" t="s">
        <v>44</v>
      </c>
      <c r="X84" s="2" t="s">
        <v>45</v>
      </c>
      <c r="Y84" s="2"/>
      <c r="Z84" s="2"/>
      <c r="AA84" s="2"/>
      <c r="AB84" s="2"/>
    </row>
    <row r="85" spans="1:28">
      <c r="A85" s="2" t="s">
        <v>28</v>
      </c>
      <c r="B85" s="2" t="s">
        <v>29</v>
      </c>
      <c r="C85" s="2" t="s">
        <v>571</v>
      </c>
      <c r="D85" s="2" t="s">
        <v>572</v>
      </c>
      <c r="E85" s="2"/>
      <c r="F85" s="2" t="s">
        <v>48</v>
      </c>
      <c r="G85" s="2" t="s">
        <v>573</v>
      </c>
      <c r="H85" s="2" t="s">
        <v>574</v>
      </c>
      <c r="I85" s="2" t="s">
        <v>575</v>
      </c>
      <c r="J85" s="2" t="s">
        <v>36</v>
      </c>
      <c r="K85" s="2" t="s">
        <v>36</v>
      </c>
      <c r="L85" s="2" t="s">
        <v>576</v>
      </c>
      <c r="M85" s="2">
        <v>0.309</v>
      </c>
      <c r="N85" s="2" t="s">
        <v>38</v>
      </c>
      <c r="O85" s="2" t="s">
        <v>54</v>
      </c>
      <c r="P85" s="2" t="s">
        <v>28</v>
      </c>
      <c r="Q85" s="2" t="s">
        <v>40</v>
      </c>
      <c r="R85" s="2" t="s">
        <v>41</v>
      </c>
      <c r="S85" s="2" t="s">
        <v>42</v>
      </c>
      <c r="T85" s="2">
        <v>60</v>
      </c>
      <c r="U85" s="2">
        <v>508</v>
      </c>
      <c r="V85" s="2" t="s">
        <v>85</v>
      </c>
      <c r="W85" s="2" t="s">
        <v>44</v>
      </c>
      <c r="X85" s="2" t="s">
        <v>45</v>
      </c>
      <c r="Y85" s="2"/>
      <c r="Z85" s="2"/>
      <c r="AA85" s="2"/>
      <c r="AB85" s="2"/>
    </row>
    <row r="86" spans="1:28">
      <c r="A86" s="2" t="s">
        <v>28</v>
      </c>
      <c r="B86" s="2" t="s">
        <v>29</v>
      </c>
      <c r="C86" s="2" t="s">
        <v>577</v>
      </c>
      <c r="D86" s="2" t="s">
        <v>578</v>
      </c>
      <c r="E86" s="2"/>
      <c r="F86" s="2" t="s">
        <v>73</v>
      </c>
      <c r="G86" s="2" t="s">
        <v>579</v>
      </c>
      <c r="H86" s="2" t="s">
        <v>580</v>
      </c>
      <c r="I86" s="2" t="s">
        <v>581</v>
      </c>
      <c r="J86" s="2" t="s">
        <v>36</v>
      </c>
      <c r="K86" s="2" t="s">
        <v>36</v>
      </c>
      <c r="L86" s="2" t="s">
        <v>582</v>
      </c>
      <c r="M86" s="2">
        <v>2.9649999999999999</v>
      </c>
      <c r="N86" s="2" t="s">
        <v>53</v>
      </c>
      <c r="O86" s="2" t="s">
        <v>54</v>
      </c>
      <c r="P86" s="2" t="s">
        <v>28</v>
      </c>
      <c r="Q86" s="2" t="s">
        <v>40</v>
      </c>
      <c r="R86" s="2" t="s">
        <v>41</v>
      </c>
      <c r="S86" s="2" t="s">
        <v>55</v>
      </c>
      <c r="T86" s="2">
        <v>42</v>
      </c>
      <c r="U86" s="2">
        <v>568</v>
      </c>
      <c r="V86" s="2" t="s">
        <v>56</v>
      </c>
      <c r="W86" s="2" t="s">
        <v>44</v>
      </c>
      <c r="X86" s="2" t="s">
        <v>45</v>
      </c>
      <c r="Y86" s="2"/>
      <c r="Z86" s="2"/>
      <c r="AA86" s="2"/>
      <c r="AB86" s="2"/>
    </row>
    <row r="87" spans="1:28">
      <c r="A87" s="2" t="s">
        <v>28</v>
      </c>
      <c r="B87" s="2" t="s">
        <v>29</v>
      </c>
      <c r="C87" s="2" t="s">
        <v>583</v>
      </c>
      <c r="D87" s="2" t="s">
        <v>584</v>
      </c>
      <c r="E87" s="2"/>
      <c r="F87" s="2" t="s">
        <v>48</v>
      </c>
      <c r="G87" s="2" t="s">
        <v>585</v>
      </c>
      <c r="H87" s="2" t="s">
        <v>586</v>
      </c>
      <c r="I87" s="2" t="s">
        <v>587</v>
      </c>
      <c r="J87" s="2" t="s">
        <v>36</v>
      </c>
      <c r="K87" s="2" t="s">
        <v>36</v>
      </c>
      <c r="L87" s="2" t="s">
        <v>588</v>
      </c>
      <c r="M87" s="2">
        <v>3.351</v>
      </c>
      <c r="N87" s="2" t="s">
        <v>53</v>
      </c>
      <c r="O87" s="2" t="s">
        <v>54</v>
      </c>
      <c r="P87" s="2" t="s">
        <v>28</v>
      </c>
      <c r="Q87" s="2" t="s">
        <v>40</v>
      </c>
      <c r="R87" s="2" t="s">
        <v>41</v>
      </c>
      <c r="S87" s="2" t="s">
        <v>42</v>
      </c>
      <c r="T87" s="2">
        <v>85</v>
      </c>
      <c r="U87" s="2">
        <v>1018</v>
      </c>
      <c r="V87" s="2" t="s">
        <v>422</v>
      </c>
      <c r="W87" s="2" t="s">
        <v>44</v>
      </c>
      <c r="X87" s="2" t="s">
        <v>45</v>
      </c>
      <c r="Y87" s="2"/>
      <c r="Z87" s="2"/>
      <c r="AA87" s="2"/>
      <c r="AB87" s="2"/>
    </row>
    <row r="88" spans="1:28">
      <c r="A88" s="2" t="s">
        <v>28</v>
      </c>
      <c r="B88" s="2" t="s">
        <v>29</v>
      </c>
      <c r="C88" s="2" t="s">
        <v>589</v>
      </c>
      <c r="D88" s="2" t="s">
        <v>590</v>
      </c>
      <c r="E88" s="2"/>
      <c r="F88" s="2" t="s">
        <v>73</v>
      </c>
      <c r="G88" s="2" t="s">
        <v>591</v>
      </c>
      <c r="H88" s="2" t="s">
        <v>592</v>
      </c>
      <c r="I88" s="2" t="s">
        <v>593</v>
      </c>
      <c r="J88" s="2" t="s">
        <v>36</v>
      </c>
      <c r="K88" s="2" t="s">
        <v>36</v>
      </c>
      <c r="L88" s="2" t="s">
        <v>594</v>
      </c>
      <c r="M88" s="2">
        <v>0.77</v>
      </c>
      <c r="N88" s="2" t="s">
        <v>38</v>
      </c>
      <c r="O88" s="2" t="s">
        <v>39</v>
      </c>
      <c r="P88" s="2" t="s">
        <v>28</v>
      </c>
      <c r="Q88" s="2" t="s">
        <v>40</v>
      </c>
      <c r="R88" s="2" t="s">
        <v>41</v>
      </c>
      <c r="S88" s="2" t="s">
        <v>42</v>
      </c>
      <c r="T88" s="2">
        <v>83</v>
      </c>
      <c r="U88" s="2">
        <v>889</v>
      </c>
      <c r="V88" s="2" t="s">
        <v>43</v>
      </c>
      <c r="W88" s="2" t="s">
        <v>44</v>
      </c>
      <c r="X88" s="2" t="s">
        <v>45</v>
      </c>
      <c r="Y88" s="2"/>
      <c r="Z88" s="2"/>
      <c r="AA88" s="2"/>
      <c r="AB88" s="2"/>
    </row>
    <row r="89" spans="1:28">
      <c r="A89" s="2" t="s">
        <v>28</v>
      </c>
      <c r="B89" s="2" t="s">
        <v>29</v>
      </c>
      <c r="C89" s="2" t="s">
        <v>595</v>
      </c>
      <c r="D89" s="2" t="s">
        <v>596</v>
      </c>
      <c r="E89" s="2"/>
      <c r="F89" s="2" t="s">
        <v>32</v>
      </c>
      <c r="G89" s="2" t="s">
        <v>597</v>
      </c>
      <c r="H89" s="2" t="s">
        <v>598</v>
      </c>
      <c r="I89" s="2" t="s">
        <v>599</v>
      </c>
      <c r="J89" s="2" t="s">
        <v>36</v>
      </c>
      <c r="K89" s="2" t="s">
        <v>36</v>
      </c>
      <c r="L89" s="2" t="s">
        <v>600</v>
      </c>
      <c r="M89" s="2">
        <v>0.86599999999999999</v>
      </c>
      <c r="N89" s="2" t="s">
        <v>38</v>
      </c>
      <c r="O89" s="2" t="s">
        <v>39</v>
      </c>
      <c r="P89" s="2" t="s">
        <v>28</v>
      </c>
      <c r="Q89" s="2" t="s">
        <v>40</v>
      </c>
      <c r="R89" s="2" t="s">
        <v>41</v>
      </c>
      <c r="S89" s="2" t="s">
        <v>42</v>
      </c>
      <c r="T89" s="2">
        <v>105</v>
      </c>
      <c r="U89" s="2">
        <v>1092</v>
      </c>
      <c r="V89" s="2" t="s">
        <v>371</v>
      </c>
      <c r="W89" s="2" t="s">
        <v>44</v>
      </c>
      <c r="X89" s="2" t="s">
        <v>45</v>
      </c>
      <c r="Y89" s="2"/>
      <c r="Z89" s="2"/>
      <c r="AA89" s="2"/>
      <c r="AB89" s="2"/>
    </row>
    <row r="90" spans="1:28">
      <c r="A90" s="2" t="s">
        <v>28</v>
      </c>
      <c r="B90" s="2" t="s">
        <v>29</v>
      </c>
      <c r="C90" s="2" t="s">
        <v>601</v>
      </c>
      <c r="D90" s="2" t="s">
        <v>602</v>
      </c>
      <c r="E90" s="2" t="s">
        <v>603</v>
      </c>
      <c r="F90" s="2" t="s">
        <v>73</v>
      </c>
      <c r="G90" s="2" t="s">
        <v>604</v>
      </c>
      <c r="H90" s="2" t="s">
        <v>605</v>
      </c>
      <c r="I90" s="2" t="s">
        <v>606</v>
      </c>
      <c r="J90" s="2" t="s">
        <v>36</v>
      </c>
      <c r="K90" s="2" t="s">
        <v>36</v>
      </c>
      <c r="L90" s="2" t="s">
        <v>607</v>
      </c>
      <c r="M90" s="2">
        <v>0.26500000000000001</v>
      </c>
      <c r="N90" s="2" t="s">
        <v>38</v>
      </c>
      <c r="O90" s="2" t="s">
        <v>165</v>
      </c>
      <c r="P90" s="2" t="s">
        <v>28</v>
      </c>
      <c r="Q90" s="2" t="s">
        <v>40</v>
      </c>
      <c r="R90" s="2" t="s">
        <v>41</v>
      </c>
      <c r="S90" s="2" t="s">
        <v>42</v>
      </c>
      <c r="T90" s="2">
        <v>70</v>
      </c>
      <c r="U90" s="2">
        <v>798</v>
      </c>
      <c r="V90" s="2" t="s">
        <v>166</v>
      </c>
      <c r="W90" s="2" t="s">
        <v>44</v>
      </c>
      <c r="X90" s="2" t="s">
        <v>45</v>
      </c>
      <c r="Y90" s="2"/>
      <c r="Z90" s="2"/>
      <c r="AA90" s="2"/>
      <c r="AB90" s="2"/>
    </row>
    <row r="91" spans="1:28">
      <c r="A91" s="2" t="s">
        <v>28</v>
      </c>
      <c r="B91" s="2" t="s">
        <v>29</v>
      </c>
      <c r="C91" s="2" t="s">
        <v>608</v>
      </c>
      <c r="D91" s="2" t="s">
        <v>609</v>
      </c>
      <c r="E91" s="2" t="s">
        <v>610</v>
      </c>
      <c r="F91" s="2" t="s">
        <v>32</v>
      </c>
      <c r="G91" s="2" t="s">
        <v>611</v>
      </c>
      <c r="H91" s="2" t="s">
        <v>612</v>
      </c>
      <c r="I91" s="2" t="s">
        <v>613</v>
      </c>
      <c r="J91" s="2" t="s">
        <v>36</v>
      </c>
      <c r="K91" s="2" t="s">
        <v>36</v>
      </c>
      <c r="L91" s="2" t="s">
        <v>614</v>
      </c>
      <c r="M91" s="2">
        <v>0.221</v>
      </c>
      <c r="N91" s="2" t="s">
        <v>38</v>
      </c>
      <c r="O91" s="2" t="s">
        <v>39</v>
      </c>
      <c r="P91" s="2" t="s">
        <v>28</v>
      </c>
      <c r="Q91" s="2" t="s">
        <v>40</v>
      </c>
      <c r="R91" s="2" t="s">
        <v>41</v>
      </c>
      <c r="S91" s="2" t="s">
        <v>42</v>
      </c>
      <c r="T91" s="2">
        <v>108</v>
      </c>
      <c r="U91" s="2">
        <v>889</v>
      </c>
      <c r="V91" s="2" t="s">
        <v>43</v>
      </c>
      <c r="W91" s="2" t="s">
        <v>44</v>
      </c>
      <c r="X91" s="2" t="s">
        <v>45</v>
      </c>
      <c r="Y91" s="2"/>
      <c r="Z91" s="2"/>
      <c r="AA91" s="2"/>
      <c r="AB91" s="2"/>
    </row>
    <row r="92" spans="1:28">
      <c r="A92" s="2" t="s">
        <v>28</v>
      </c>
      <c r="B92" s="2" t="s">
        <v>29</v>
      </c>
      <c r="C92" s="2" t="s">
        <v>615</v>
      </c>
      <c r="D92" s="2" t="s">
        <v>616</v>
      </c>
      <c r="E92" s="2"/>
      <c r="F92" s="2" t="s">
        <v>73</v>
      </c>
      <c r="G92" s="2" t="s">
        <v>617</v>
      </c>
      <c r="H92" s="2" t="s">
        <v>618</v>
      </c>
      <c r="I92" s="2" t="s">
        <v>619</v>
      </c>
      <c r="J92" s="2" t="s">
        <v>36</v>
      </c>
      <c r="K92" s="2" t="s">
        <v>36</v>
      </c>
      <c r="L92" s="2" t="s">
        <v>620</v>
      </c>
      <c r="M92" s="2">
        <v>0.219</v>
      </c>
      <c r="N92" s="2" t="s">
        <v>38</v>
      </c>
      <c r="O92" s="2" t="s">
        <v>39</v>
      </c>
      <c r="P92" s="2" t="s">
        <v>28</v>
      </c>
      <c r="Q92" s="2" t="s">
        <v>40</v>
      </c>
      <c r="R92" s="2" t="s">
        <v>41</v>
      </c>
      <c r="S92" s="2" t="s">
        <v>55</v>
      </c>
      <c r="T92" s="2">
        <v>40</v>
      </c>
      <c r="U92" s="2">
        <v>954</v>
      </c>
      <c r="V92" s="2" t="s">
        <v>78</v>
      </c>
      <c r="W92" s="2" t="s">
        <v>44</v>
      </c>
      <c r="X92" s="2" t="s">
        <v>45</v>
      </c>
      <c r="Y92" s="2"/>
      <c r="Z92" s="2"/>
      <c r="AA92" s="2"/>
      <c r="AB92" s="2"/>
    </row>
    <row r="93" spans="1:28">
      <c r="A93" s="2" t="s">
        <v>28</v>
      </c>
      <c r="B93" s="2" t="s">
        <v>29</v>
      </c>
      <c r="C93" s="2" t="s">
        <v>621</v>
      </c>
      <c r="D93" s="2" t="s">
        <v>622</v>
      </c>
      <c r="E93" s="2" t="s">
        <v>623</v>
      </c>
      <c r="F93" s="2" t="s">
        <v>48</v>
      </c>
      <c r="G93" s="2" t="s">
        <v>624</v>
      </c>
      <c r="H93" s="2" t="s">
        <v>625</v>
      </c>
      <c r="I93" s="2" t="s">
        <v>626</v>
      </c>
      <c r="J93" s="2" t="s">
        <v>36</v>
      </c>
      <c r="K93" s="2" t="s">
        <v>36</v>
      </c>
      <c r="L93" s="2" t="s">
        <v>627</v>
      </c>
      <c r="M93" s="2">
        <v>0.309</v>
      </c>
      <c r="N93" s="2" t="s">
        <v>38</v>
      </c>
      <c r="O93" s="2" t="s">
        <v>39</v>
      </c>
      <c r="P93" s="2" t="s">
        <v>28</v>
      </c>
      <c r="Q93" s="2" t="s">
        <v>40</v>
      </c>
      <c r="R93" s="2" t="s">
        <v>41</v>
      </c>
      <c r="S93" s="2" t="s">
        <v>42</v>
      </c>
      <c r="T93" s="2">
        <v>67</v>
      </c>
      <c r="U93" s="2">
        <v>1083</v>
      </c>
      <c r="V93" s="2" t="s">
        <v>628</v>
      </c>
      <c r="W93" s="2" t="s">
        <v>44</v>
      </c>
      <c r="X93" s="2" t="s">
        <v>45</v>
      </c>
      <c r="Y93" s="2"/>
      <c r="Z93" s="2"/>
      <c r="AA93" s="2"/>
      <c r="AB93" s="2"/>
    </row>
    <row r="94" spans="1:28">
      <c r="A94" s="2" t="s">
        <v>28</v>
      </c>
      <c r="B94" s="2" t="s">
        <v>29</v>
      </c>
      <c r="C94" s="2" t="s">
        <v>629</v>
      </c>
      <c r="D94" s="2" t="s">
        <v>590</v>
      </c>
      <c r="E94" s="2"/>
      <c r="F94" s="2" t="s">
        <v>73</v>
      </c>
      <c r="G94" s="2" t="s">
        <v>630</v>
      </c>
      <c r="H94" s="2" t="s">
        <v>592</v>
      </c>
      <c r="I94" s="2" t="s">
        <v>631</v>
      </c>
      <c r="J94" s="2" t="s">
        <v>36</v>
      </c>
      <c r="K94" s="2" t="s">
        <v>36</v>
      </c>
      <c r="L94" s="2" t="s">
        <v>632</v>
      </c>
      <c r="M94" s="2">
        <v>0.7</v>
      </c>
      <c r="N94" s="2" t="s">
        <v>38</v>
      </c>
      <c r="O94" s="2" t="s">
        <v>39</v>
      </c>
      <c r="P94" s="2" t="s">
        <v>28</v>
      </c>
      <c r="Q94" s="2" t="s">
        <v>40</v>
      </c>
      <c r="R94" s="2" t="s">
        <v>41</v>
      </c>
      <c r="S94" s="2" t="s">
        <v>42</v>
      </c>
      <c r="T94" s="2">
        <v>79</v>
      </c>
      <c r="U94" s="2">
        <v>889</v>
      </c>
      <c r="V94" s="2" t="s">
        <v>43</v>
      </c>
      <c r="W94" s="2" t="s">
        <v>44</v>
      </c>
      <c r="X94" s="2" t="s">
        <v>45</v>
      </c>
      <c r="Y94" s="2"/>
      <c r="Z94" s="2"/>
      <c r="AA94" s="2"/>
      <c r="AB94" s="2"/>
    </row>
    <row r="95" spans="1:28">
      <c r="A95" s="2" t="s">
        <v>28</v>
      </c>
      <c r="B95" s="2" t="s">
        <v>29</v>
      </c>
      <c r="C95" s="2" t="s">
        <v>633</v>
      </c>
      <c r="D95" s="2" t="s">
        <v>634</v>
      </c>
      <c r="E95" s="2"/>
      <c r="F95" s="2" t="s">
        <v>32</v>
      </c>
      <c r="G95" s="2" t="s">
        <v>635</v>
      </c>
      <c r="H95" s="2" t="s">
        <v>636</v>
      </c>
      <c r="I95" s="2" t="s">
        <v>637</v>
      </c>
      <c r="J95" s="2" t="s">
        <v>36</v>
      </c>
      <c r="K95" s="2" t="s">
        <v>36</v>
      </c>
      <c r="L95" s="2" t="s">
        <v>638</v>
      </c>
      <c r="M95" s="2">
        <v>0.23</v>
      </c>
      <c r="N95" s="2" t="s">
        <v>38</v>
      </c>
      <c r="O95" s="2" t="s">
        <v>39</v>
      </c>
      <c r="P95" s="2" t="s">
        <v>28</v>
      </c>
      <c r="Q95" s="2" t="s">
        <v>40</v>
      </c>
      <c r="R95" s="2" t="s">
        <v>41</v>
      </c>
      <c r="S95" s="2" t="s">
        <v>42</v>
      </c>
      <c r="T95" s="2">
        <v>65</v>
      </c>
      <c r="U95" s="2">
        <v>1120</v>
      </c>
      <c r="V95" s="2" t="s">
        <v>639</v>
      </c>
      <c r="W95" s="2" t="s">
        <v>44</v>
      </c>
      <c r="X95" s="2" t="s">
        <v>45</v>
      </c>
      <c r="Y95" s="2"/>
      <c r="Z95" s="2"/>
      <c r="AA95" s="2"/>
      <c r="AB95" s="2"/>
    </row>
    <row r="96" spans="1:28">
      <c r="A96" s="2" t="s">
        <v>28</v>
      </c>
      <c r="B96" s="2" t="s">
        <v>29</v>
      </c>
      <c r="C96" s="2" t="s">
        <v>640</v>
      </c>
      <c r="D96" s="2" t="s">
        <v>641</v>
      </c>
      <c r="E96" s="2" t="s">
        <v>642</v>
      </c>
      <c r="F96" s="2" t="s">
        <v>48</v>
      </c>
      <c r="G96" s="2" t="s">
        <v>643</v>
      </c>
      <c r="H96" s="2" t="s">
        <v>644</v>
      </c>
      <c r="I96" s="2" t="s">
        <v>645</v>
      </c>
      <c r="J96" s="2" t="s">
        <v>36</v>
      </c>
      <c r="K96" s="2" t="s">
        <v>36</v>
      </c>
      <c r="L96" s="2" t="s">
        <v>646</v>
      </c>
      <c r="M96" s="2">
        <v>0.53</v>
      </c>
      <c r="N96" s="2" t="s">
        <v>38</v>
      </c>
      <c r="O96" s="2" t="s">
        <v>39</v>
      </c>
      <c r="P96" s="2" t="s">
        <v>28</v>
      </c>
      <c r="Q96" s="2" t="s">
        <v>40</v>
      </c>
      <c r="R96" s="2" t="s">
        <v>41</v>
      </c>
      <c r="S96" s="2" t="s">
        <v>55</v>
      </c>
      <c r="T96" s="2">
        <v>39</v>
      </c>
      <c r="U96" s="2">
        <v>954</v>
      </c>
      <c r="V96" s="2" t="s">
        <v>78</v>
      </c>
      <c r="W96" s="2" t="s">
        <v>44</v>
      </c>
      <c r="X96" s="2" t="s">
        <v>45</v>
      </c>
      <c r="Y96" s="2"/>
      <c r="Z96" s="2"/>
      <c r="AA96" s="2"/>
      <c r="AB96" s="2"/>
    </row>
    <row r="97" spans="1:28">
      <c r="A97" s="2" t="s">
        <v>28</v>
      </c>
      <c r="B97" s="2" t="s">
        <v>29</v>
      </c>
      <c r="C97" s="2" t="s">
        <v>647</v>
      </c>
      <c r="D97" s="2" t="s">
        <v>648</v>
      </c>
      <c r="E97" s="2"/>
      <c r="F97" s="2" t="s">
        <v>32</v>
      </c>
      <c r="G97" s="2" t="s">
        <v>649</v>
      </c>
      <c r="H97" s="2" t="s">
        <v>650</v>
      </c>
      <c r="I97" s="2" t="s">
        <v>651</v>
      </c>
      <c r="J97" s="2" t="s">
        <v>36</v>
      </c>
      <c r="K97" s="2" t="s">
        <v>36</v>
      </c>
      <c r="L97" s="2" t="s">
        <v>652</v>
      </c>
      <c r="M97" s="2">
        <v>0.14000000000000001</v>
      </c>
      <c r="N97" s="2" t="s">
        <v>38</v>
      </c>
      <c r="O97" s="2" t="s">
        <v>39</v>
      </c>
      <c r="P97" s="2" t="s">
        <v>28</v>
      </c>
      <c r="Q97" s="2" t="s">
        <v>40</v>
      </c>
      <c r="R97" s="2" t="s">
        <v>41</v>
      </c>
      <c r="S97" s="2" t="s">
        <v>55</v>
      </c>
      <c r="T97" s="2">
        <v>43</v>
      </c>
      <c r="U97" s="2">
        <v>954</v>
      </c>
      <c r="V97" s="2" t="s">
        <v>78</v>
      </c>
      <c r="W97" s="2" t="s">
        <v>44</v>
      </c>
      <c r="X97" s="2" t="s">
        <v>45</v>
      </c>
      <c r="Y97" s="2"/>
      <c r="Z97" s="2"/>
      <c r="AA97" s="2"/>
      <c r="AB97" s="2"/>
    </row>
    <row r="98" spans="1:28">
      <c r="A98" s="2" t="s">
        <v>28</v>
      </c>
      <c r="B98" s="2" t="s">
        <v>29</v>
      </c>
      <c r="C98" s="2" t="s">
        <v>653</v>
      </c>
      <c r="D98" s="2" t="s">
        <v>654</v>
      </c>
      <c r="E98" s="2"/>
      <c r="F98" s="2" t="s">
        <v>32</v>
      </c>
      <c r="G98" s="2" t="s">
        <v>655</v>
      </c>
      <c r="H98" s="2" t="s">
        <v>656</v>
      </c>
      <c r="I98" s="2" t="s">
        <v>657</v>
      </c>
      <c r="J98" s="2" t="s">
        <v>36</v>
      </c>
      <c r="K98" s="2" t="s">
        <v>36</v>
      </c>
      <c r="L98" s="2" t="s">
        <v>658</v>
      </c>
      <c r="M98" s="2">
        <v>0.02</v>
      </c>
      <c r="N98" s="2" t="s">
        <v>38</v>
      </c>
      <c r="O98" s="2" t="s">
        <v>39</v>
      </c>
      <c r="P98" s="2" t="s">
        <v>28</v>
      </c>
      <c r="Q98" s="2" t="s">
        <v>40</v>
      </c>
      <c r="R98" s="2" t="s">
        <v>41</v>
      </c>
      <c r="S98" s="2" t="s">
        <v>42</v>
      </c>
      <c r="T98" s="2">
        <v>106</v>
      </c>
      <c r="U98" s="2">
        <v>889</v>
      </c>
      <c r="V98" s="2" t="s">
        <v>43</v>
      </c>
      <c r="W98" s="2" t="s">
        <v>44</v>
      </c>
      <c r="X98" s="2" t="s">
        <v>45</v>
      </c>
      <c r="Y98" s="2"/>
      <c r="Z98" s="2"/>
      <c r="AA98" s="2"/>
      <c r="AB98" s="2"/>
    </row>
    <row r="99" spans="1:28">
      <c r="A99" s="2" t="s">
        <v>28</v>
      </c>
      <c r="B99" s="2" t="s">
        <v>29</v>
      </c>
      <c r="C99" s="2" t="s">
        <v>659</v>
      </c>
      <c r="D99" s="2" t="s">
        <v>660</v>
      </c>
      <c r="E99" s="2"/>
      <c r="F99" s="2" t="s">
        <v>48</v>
      </c>
      <c r="G99" s="2" t="s">
        <v>661</v>
      </c>
      <c r="H99" s="2" t="s">
        <v>662</v>
      </c>
      <c r="I99" s="2" t="s">
        <v>663</v>
      </c>
      <c r="J99" s="2" t="s">
        <v>36</v>
      </c>
      <c r="K99" s="2" t="s">
        <v>36</v>
      </c>
      <c r="L99" s="2" t="s">
        <v>664</v>
      </c>
      <c r="M99" s="2">
        <v>16.658000000000001</v>
      </c>
      <c r="N99" s="2" t="s">
        <v>53</v>
      </c>
      <c r="O99" s="2" t="s">
        <v>54</v>
      </c>
      <c r="P99" s="2" t="s">
        <v>28</v>
      </c>
      <c r="Q99" s="2" t="s">
        <v>40</v>
      </c>
      <c r="R99" s="2" t="s">
        <v>41</v>
      </c>
      <c r="S99" s="2" t="s">
        <v>42</v>
      </c>
      <c r="T99" s="2">
        <v>67</v>
      </c>
      <c r="U99" s="2">
        <v>870</v>
      </c>
      <c r="V99" s="2" t="s">
        <v>415</v>
      </c>
      <c r="W99" s="2" t="s">
        <v>44</v>
      </c>
      <c r="X99" s="2" t="s">
        <v>45</v>
      </c>
      <c r="Y99" s="2"/>
      <c r="Z99" s="2"/>
      <c r="AA99" s="2"/>
      <c r="AB99" s="2"/>
    </row>
    <row r="100" spans="1:28">
      <c r="A100" s="2" t="s">
        <v>28</v>
      </c>
      <c r="B100" s="2" t="s">
        <v>29</v>
      </c>
      <c r="C100" s="2" t="s">
        <v>665</v>
      </c>
      <c r="D100" s="2" t="s">
        <v>666</v>
      </c>
      <c r="E100" s="2"/>
      <c r="F100" s="2" t="s">
        <v>32</v>
      </c>
      <c r="G100" s="2" t="s">
        <v>667</v>
      </c>
      <c r="H100" s="2" t="s">
        <v>668</v>
      </c>
      <c r="I100" s="2" t="s">
        <v>669</v>
      </c>
      <c r="J100" s="2" t="s">
        <v>36</v>
      </c>
      <c r="K100" s="2" t="s">
        <v>36</v>
      </c>
      <c r="L100" s="2" t="s">
        <v>670</v>
      </c>
      <c r="M100" s="2">
        <v>4.5199999999999996</v>
      </c>
      <c r="N100" s="2" t="s">
        <v>53</v>
      </c>
      <c r="O100" s="2" t="s">
        <v>54</v>
      </c>
      <c r="P100" s="2" t="s">
        <v>28</v>
      </c>
      <c r="Q100" s="2" t="s">
        <v>40</v>
      </c>
      <c r="R100" s="2" t="s">
        <v>41</v>
      </c>
      <c r="S100" s="2" t="s">
        <v>55</v>
      </c>
      <c r="T100" s="2">
        <v>38</v>
      </c>
      <c r="U100" s="2">
        <v>568</v>
      </c>
      <c r="V100" s="2" t="s">
        <v>56</v>
      </c>
      <c r="W100" s="2" t="s">
        <v>44</v>
      </c>
      <c r="X100" s="2" t="s">
        <v>45</v>
      </c>
      <c r="Y100" s="2"/>
      <c r="Z100" s="2"/>
      <c r="AA100" s="2"/>
      <c r="AB100" s="2"/>
    </row>
    <row r="101" spans="1:28">
      <c r="A101" s="2" t="s">
        <v>28</v>
      </c>
      <c r="B101" s="2" t="s">
        <v>29</v>
      </c>
      <c r="C101" s="2" t="s">
        <v>671</v>
      </c>
      <c r="D101" s="2" t="s">
        <v>672</v>
      </c>
      <c r="E101" s="2" t="s">
        <v>673</v>
      </c>
      <c r="F101" s="2" t="s">
        <v>32</v>
      </c>
      <c r="G101" s="2" t="s">
        <v>674</v>
      </c>
      <c r="H101" s="2" t="s">
        <v>675</v>
      </c>
      <c r="I101" s="2" t="s">
        <v>676</v>
      </c>
      <c r="J101" s="2" t="s">
        <v>36</v>
      </c>
      <c r="K101" s="2" t="s">
        <v>36</v>
      </c>
      <c r="L101" s="2" t="s">
        <v>677</v>
      </c>
      <c r="M101" s="2">
        <v>0.65500000000000003</v>
      </c>
      <c r="N101" s="2" t="s">
        <v>38</v>
      </c>
      <c r="O101" s="2" t="s">
        <v>39</v>
      </c>
      <c r="P101" s="2" t="s">
        <v>28</v>
      </c>
      <c r="Q101" s="2" t="s">
        <v>40</v>
      </c>
      <c r="R101" s="2" t="s">
        <v>41</v>
      </c>
      <c r="S101" s="2" t="s">
        <v>55</v>
      </c>
      <c r="T101" s="2">
        <v>42</v>
      </c>
      <c r="U101" s="2">
        <v>955</v>
      </c>
      <c r="V101" s="2" t="s">
        <v>124</v>
      </c>
      <c r="W101" s="2" t="s">
        <v>44</v>
      </c>
      <c r="X101" s="2" t="s">
        <v>45</v>
      </c>
      <c r="Y101" s="2"/>
      <c r="Z101" s="2"/>
      <c r="AA101" s="2"/>
      <c r="AB101" s="2"/>
    </row>
    <row r="102" spans="1:28">
      <c r="A102" s="2" t="s">
        <v>28</v>
      </c>
      <c r="B102" s="2" t="s">
        <v>29</v>
      </c>
      <c r="C102" s="2" t="s">
        <v>678</v>
      </c>
      <c r="D102" s="2" t="s">
        <v>679</v>
      </c>
      <c r="E102" s="2"/>
      <c r="F102" s="2" t="s">
        <v>32</v>
      </c>
      <c r="G102" s="2" t="s">
        <v>680</v>
      </c>
      <c r="H102" s="2" t="s">
        <v>681</v>
      </c>
      <c r="I102" s="2" t="s">
        <v>682</v>
      </c>
      <c r="J102" s="2" t="s">
        <v>36</v>
      </c>
      <c r="K102" s="2" t="s">
        <v>36</v>
      </c>
      <c r="L102" s="2" t="s">
        <v>683</v>
      </c>
      <c r="M102" s="2">
        <v>2.617</v>
      </c>
      <c r="N102" s="2" t="s">
        <v>53</v>
      </c>
      <c r="O102" s="2" t="s">
        <v>54</v>
      </c>
      <c r="P102" s="2" t="s">
        <v>28</v>
      </c>
      <c r="Q102" s="2" t="s">
        <v>40</v>
      </c>
      <c r="R102" s="2" t="s">
        <v>41</v>
      </c>
      <c r="S102" s="2" t="s">
        <v>55</v>
      </c>
      <c r="T102" s="2">
        <v>38</v>
      </c>
      <c r="U102" s="2">
        <v>568</v>
      </c>
      <c r="V102" s="2" t="s">
        <v>56</v>
      </c>
      <c r="W102" s="2" t="s">
        <v>44</v>
      </c>
      <c r="X102" s="2" t="s">
        <v>45</v>
      </c>
      <c r="Y102" s="2"/>
      <c r="Z102" s="2"/>
      <c r="AA102" s="2"/>
      <c r="AB102" s="2"/>
    </row>
    <row r="103" spans="1:28">
      <c r="A103" s="2" t="s">
        <v>28</v>
      </c>
      <c r="B103" s="2" t="s">
        <v>29</v>
      </c>
      <c r="C103" s="2" t="s">
        <v>684</v>
      </c>
      <c r="D103" s="2" t="s">
        <v>685</v>
      </c>
      <c r="E103" s="2" t="s">
        <v>686</v>
      </c>
      <c r="F103" s="2" t="s">
        <v>32</v>
      </c>
      <c r="G103" s="2" t="s">
        <v>687</v>
      </c>
      <c r="H103" s="2" t="s">
        <v>688</v>
      </c>
      <c r="I103" s="2" t="s">
        <v>689</v>
      </c>
      <c r="J103" s="2" t="s">
        <v>36</v>
      </c>
      <c r="K103" s="2" t="s">
        <v>36</v>
      </c>
      <c r="L103" s="2" t="s">
        <v>690</v>
      </c>
      <c r="M103" s="2">
        <v>0.99</v>
      </c>
      <c r="N103" s="2" t="s">
        <v>38</v>
      </c>
      <c r="O103" s="2" t="s">
        <v>39</v>
      </c>
      <c r="P103" s="2" t="s">
        <v>28</v>
      </c>
      <c r="Q103" s="2" t="s">
        <v>40</v>
      </c>
      <c r="R103" s="2" t="s">
        <v>41</v>
      </c>
      <c r="S103" s="2" t="s">
        <v>55</v>
      </c>
      <c r="T103" s="2">
        <v>40</v>
      </c>
      <c r="U103" s="2">
        <v>889</v>
      </c>
      <c r="V103" s="2" t="s">
        <v>43</v>
      </c>
      <c r="W103" s="2" t="s">
        <v>44</v>
      </c>
      <c r="X103" s="2" t="s">
        <v>45</v>
      </c>
      <c r="Y103" s="2"/>
      <c r="Z103" s="2"/>
      <c r="AA103" s="2"/>
      <c r="AB103" s="2"/>
    </row>
    <row r="104" spans="1:28">
      <c r="A104" s="2" t="s">
        <v>28</v>
      </c>
      <c r="B104" s="2" t="s">
        <v>29</v>
      </c>
      <c r="C104" s="2" t="s">
        <v>691</v>
      </c>
      <c r="D104" s="2" t="s">
        <v>692</v>
      </c>
      <c r="E104" s="2"/>
      <c r="F104" s="2" t="s">
        <v>32</v>
      </c>
      <c r="G104" s="2" t="s">
        <v>693</v>
      </c>
      <c r="H104" s="2" t="s">
        <v>694</v>
      </c>
      <c r="I104" s="2" t="s">
        <v>695</v>
      </c>
      <c r="J104" s="2" t="s">
        <v>36</v>
      </c>
      <c r="K104" s="2" t="s">
        <v>36</v>
      </c>
      <c r="L104" s="2" t="s">
        <v>696</v>
      </c>
      <c r="M104" s="2">
        <v>0.88200000000000001</v>
      </c>
      <c r="N104" s="2" t="s">
        <v>38</v>
      </c>
      <c r="O104" s="2" t="s">
        <v>39</v>
      </c>
      <c r="P104" s="2" t="s">
        <v>28</v>
      </c>
      <c r="Q104" s="2" t="s">
        <v>40</v>
      </c>
      <c r="R104" s="2" t="s">
        <v>41</v>
      </c>
      <c r="S104" s="2" t="s">
        <v>42</v>
      </c>
      <c r="T104" s="2">
        <v>80</v>
      </c>
      <c r="U104" s="2">
        <v>889</v>
      </c>
      <c r="V104" s="2" t="s">
        <v>43</v>
      </c>
      <c r="W104" s="2" t="s">
        <v>44</v>
      </c>
      <c r="X104" s="2" t="s">
        <v>45</v>
      </c>
      <c r="Y104" s="2"/>
      <c r="Z104" s="2"/>
      <c r="AA104" s="2"/>
      <c r="AB104" s="2"/>
    </row>
    <row r="105" spans="1:28">
      <c r="A105" s="2" t="s">
        <v>28</v>
      </c>
      <c r="B105" s="2" t="s">
        <v>29</v>
      </c>
      <c r="C105" s="2" t="s">
        <v>697</v>
      </c>
      <c r="D105" s="2" t="s">
        <v>698</v>
      </c>
      <c r="E105" s="2"/>
      <c r="F105" s="2" t="s">
        <v>73</v>
      </c>
      <c r="G105" s="2" t="s">
        <v>699</v>
      </c>
      <c r="H105" s="2" t="s">
        <v>700</v>
      </c>
      <c r="I105" s="2" t="s">
        <v>701</v>
      </c>
      <c r="J105" s="2" t="s">
        <v>36</v>
      </c>
      <c r="K105" s="2" t="s">
        <v>36</v>
      </c>
      <c r="L105" s="2" t="s">
        <v>702</v>
      </c>
      <c r="M105" s="2">
        <v>0.66</v>
      </c>
      <c r="N105" s="2" t="s">
        <v>38</v>
      </c>
      <c r="O105" s="2" t="s">
        <v>39</v>
      </c>
      <c r="P105" s="2" t="s">
        <v>28</v>
      </c>
      <c r="Q105" s="2" t="s">
        <v>40</v>
      </c>
      <c r="R105" s="2" t="s">
        <v>41</v>
      </c>
      <c r="S105" s="2" t="s">
        <v>42</v>
      </c>
      <c r="T105" s="2">
        <v>81</v>
      </c>
      <c r="U105" s="2">
        <v>889</v>
      </c>
      <c r="V105" s="2" t="s">
        <v>43</v>
      </c>
      <c r="W105" s="2" t="s">
        <v>44</v>
      </c>
      <c r="X105" s="2" t="s">
        <v>45</v>
      </c>
      <c r="Y105" s="2"/>
      <c r="Z105" s="2"/>
      <c r="AA105" s="2"/>
      <c r="AB105" s="2"/>
    </row>
    <row r="106" spans="1:28">
      <c r="A106" s="2" t="s">
        <v>28</v>
      </c>
      <c r="B106" s="2" t="s">
        <v>29</v>
      </c>
      <c r="C106" s="2" t="s">
        <v>703</v>
      </c>
      <c r="D106" s="2" t="s">
        <v>704</v>
      </c>
      <c r="E106" s="2"/>
      <c r="F106" s="2" t="s">
        <v>73</v>
      </c>
      <c r="G106" s="2" t="s">
        <v>705</v>
      </c>
      <c r="H106" s="2" t="s">
        <v>706</v>
      </c>
      <c r="I106" s="2" t="s">
        <v>707</v>
      </c>
      <c r="J106" s="2" t="s">
        <v>36</v>
      </c>
      <c r="K106" s="2" t="s">
        <v>36</v>
      </c>
      <c r="L106" s="2" t="s">
        <v>708</v>
      </c>
      <c r="M106" s="2">
        <v>2.67</v>
      </c>
      <c r="N106" s="2" t="s">
        <v>53</v>
      </c>
      <c r="O106" s="2" t="s">
        <v>54</v>
      </c>
      <c r="P106" s="2" t="s">
        <v>28</v>
      </c>
      <c r="Q106" s="2" t="s">
        <v>40</v>
      </c>
      <c r="R106" s="2" t="s">
        <v>41</v>
      </c>
      <c r="S106" s="2" t="s">
        <v>55</v>
      </c>
      <c r="T106" s="2">
        <v>41</v>
      </c>
      <c r="U106" s="2">
        <v>568</v>
      </c>
      <c r="V106" s="2" t="s">
        <v>56</v>
      </c>
      <c r="W106" s="2" t="s">
        <v>44</v>
      </c>
      <c r="X106" s="2" t="s">
        <v>45</v>
      </c>
      <c r="Y106" s="2"/>
      <c r="Z106" s="2"/>
      <c r="AA106" s="2"/>
      <c r="AB106" s="2"/>
    </row>
    <row r="107" spans="1:28">
      <c r="A107" s="2" t="s">
        <v>28</v>
      </c>
      <c r="B107" s="2" t="s">
        <v>29</v>
      </c>
      <c r="C107" s="2" t="s">
        <v>709</v>
      </c>
      <c r="D107" s="2" t="s">
        <v>710</v>
      </c>
      <c r="E107" s="2" t="s">
        <v>711</v>
      </c>
      <c r="F107" s="2" t="s">
        <v>32</v>
      </c>
      <c r="G107" s="2" t="s">
        <v>712</v>
      </c>
      <c r="H107" s="2" t="s">
        <v>713</v>
      </c>
      <c r="I107" s="2" t="s">
        <v>714</v>
      </c>
      <c r="J107" s="2" t="s">
        <v>36</v>
      </c>
      <c r="K107" s="2" t="s">
        <v>36</v>
      </c>
      <c r="L107" s="2" t="s">
        <v>715</v>
      </c>
      <c r="M107" s="2">
        <v>0.223</v>
      </c>
      <c r="N107" s="2" t="s">
        <v>38</v>
      </c>
      <c r="O107" s="2" t="s">
        <v>54</v>
      </c>
      <c r="P107" s="2" t="s">
        <v>28</v>
      </c>
      <c r="Q107" s="2" t="s">
        <v>40</v>
      </c>
      <c r="R107" s="2" t="s">
        <v>41</v>
      </c>
      <c r="S107" s="2" t="s">
        <v>55</v>
      </c>
      <c r="T107" s="2">
        <v>37</v>
      </c>
      <c r="U107" s="2">
        <v>619</v>
      </c>
      <c r="V107" s="2" t="s">
        <v>151</v>
      </c>
      <c r="W107" s="2" t="s">
        <v>44</v>
      </c>
      <c r="X107" s="2" t="s">
        <v>45</v>
      </c>
      <c r="Y107" s="2"/>
      <c r="Z107" s="2"/>
      <c r="AA107" s="2"/>
      <c r="AB107" s="2"/>
    </row>
    <row r="108" spans="1:28">
      <c r="A108" s="2" t="s">
        <v>28</v>
      </c>
      <c r="B108" s="2" t="s">
        <v>29</v>
      </c>
      <c r="C108" s="2" t="s">
        <v>716</v>
      </c>
      <c r="D108" s="2" t="s">
        <v>717</v>
      </c>
      <c r="E108" s="2"/>
      <c r="F108" s="2" t="s">
        <v>73</v>
      </c>
      <c r="G108" s="2" t="s">
        <v>718</v>
      </c>
      <c r="H108" s="2" t="s">
        <v>719</v>
      </c>
      <c r="I108" s="2" t="s">
        <v>720</v>
      </c>
      <c r="J108" s="2" t="s">
        <v>36</v>
      </c>
      <c r="K108" s="2" t="s">
        <v>36</v>
      </c>
      <c r="L108" s="2" t="s">
        <v>721</v>
      </c>
      <c r="M108" s="2">
        <v>0.219</v>
      </c>
      <c r="N108" s="2" t="s">
        <v>38</v>
      </c>
      <c r="O108" s="2" t="s">
        <v>39</v>
      </c>
      <c r="P108" s="2" t="s">
        <v>28</v>
      </c>
      <c r="Q108" s="2" t="s">
        <v>40</v>
      </c>
      <c r="R108" s="2" t="s">
        <v>41</v>
      </c>
      <c r="S108" s="2" t="s">
        <v>55</v>
      </c>
      <c r="T108" s="2">
        <v>43</v>
      </c>
      <c r="U108" s="2">
        <v>954</v>
      </c>
      <c r="V108" s="2" t="s">
        <v>78</v>
      </c>
      <c r="W108" s="2" t="s">
        <v>44</v>
      </c>
      <c r="X108" s="2" t="s">
        <v>45</v>
      </c>
      <c r="Y108" s="2"/>
      <c r="Z108" s="2"/>
      <c r="AA108" s="2"/>
      <c r="AB108" s="2"/>
    </row>
    <row r="109" spans="1:28">
      <c r="A109" s="2" t="s">
        <v>28</v>
      </c>
      <c r="B109" s="2" t="s">
        <v>29</v>
      </c>
      <c r="C109" s="2" t="s">
        <v>722</v>
      </c>
      <c r="D109" s="2" t="s">
        <v>484</v>
      </c>
      <c r="E109" s="2"/>
      <c r="F109" s="2" t="s">
        <v>32</v>
      </c>
      <c r="G109" s="2" t="s">
        <v>723</v>
      </c>
      <c r="H109" s="2" t="s">
        <v>486</v>
      </c>
      <c r="I109" s="2" t="s">
        <v>487</v>
      </c>
      <c r="J109" s="2" t="s">
        <v>36</v>
      </c>
      <c r="K109" s="2" t="s">
        <v>36</v>
      </c>
      <c r="L109" s="2" t="s">
        <v>724</v>
      </c>
      <c r="M109" s="2">
        <v>0.62</v>
      </c>
      <c r="N109" s="2" t="s">
        <v>38</v>
      </c>
      <c r="O109" s="2" t="s">
        <v>39</v>
      </c>
      <c r="P109" s="2" t="s">
        <v>28</v>
      </c>
      <c r="Q109" s="2" t="s">
        <v>40</v>
      </c>
      <c r="R109" s="2" t="s">
        <v>41</v>
      </c>
      <c r="S109" s="2" t="s">
        <v>55</v>
      </c>
      <c r="T109" s="2">
        <v>39</v>
      </c>
      <c r="U109" s="2">
        <v>954</v>
      </c>
      <c r="V109" s="2" t="s">
        <v>78</v>
      </c>
      <c r="W109" s="2" t="s">
        <v>44</v>
      </c>
      <c r="X109" s="2" t="s">
        <v>45</v>
      </c>
      <c r="Y109" s="2"/>
      <c r="Z109" s="2"/>
      <c r="AA109" s="2"/>
      <c r="AB109" s="2"/>
    </row>
    <row r="110" spans="1:28">
      <c r="A110" s="2" t="s">
        <v>28</v>
      </c>
      <c r="B110" s="2" t="s">
        <v>29</v>
      </c>
      <c r="C110" s="2" t="s">
        <v>725</v>
      </c>
      <c r="D110" s="2" t="s">
        <v>726</v>
      </c>
      <c r="E110" s="2"/>
      <c r="F110" s="2" t="s">
        <v>32</v>
      </c>
      <c r="G110" s="2" t="s">
        <v>727</v>
      </c>
      <c r="H110" s="2" t="s">
        <v>728</v>
      </c>
      <c r="I110" s="2" t="s">
        <v>729</v>
      </c>
      <c r="J110" s="2" t="s">
        <v>36</v>
      </c>
      <c r="K110" s="2" t="s">
        <v>36</v>
      </c>
      <c r="L110" s="2" t="s">
        <v>730</v>
      </c>
      <c r="M110" s="2">
        <v>0.93500000000000005</v>
      </c>
      <c r="N110" s="2" t="s">
        <v>38</v>
      </c>
      <c r="O110" s="2" t="s">
        <v>39</v>
      </c>
      <c r="P110" s="2" t="s">
        <v>28</v>
      </c>
      <c r="Q110" s="2" t="s">
        <v>40</v>
      </c>
      <c r="R110" s="2" t="s">
        <v>41</v>
      </c>
      <c r="S110" s="2" t="s">
        <v>42</v>
      </c>
      <c r="T110" s="2">
        <v>107</v>
      </c>
      <c r="U110" s="2">
        <v>1092</v>
      </c>
      <c r="V110" s="2" t="s">
        <v>371</v>
      </c>
      <c r="W110" s="2" t="s">
        <v>44</v>
      </c>
      <c r="X110" s="2" t="s">
        <v>45</v>
      </c>
      <c r="Y110" s="2"/>
      <c r="Z110" s="2"/>
      <c r="AA110" s="2"/>
      <c r="AB110" s="2"/>
    </row>
    <row r="111" spans="1:28">
      <c r="A111" s="2" t="s">
        <v>28</v>
      </c>
      <c r="B111" s="2" t="s">
        <v>29</v>
      </c>
      <c r="C111" s="2" t="s">
        <v>731</v>
      </c>
      <c r="D111" s="2" t="s">
        <v>732</v>
      </c>
      <c r="E111" s="2"/>
      <c r="F111" s="2" t="s">
        <v>73</v>
      </c>
      <c r="G111" s="2" t="s">
        <v>733</v>
      </c>
      <c r="H111" s="2" t="s">
        <v>734</v>
      </c>
      <c r="I111" s="2" t="s">
        <v>735</v>
      </c>
      <c r="J111" s="2" t="s">
        <v>36</v>
      </c>
      <c r="K111" s="2" t="s">
        <v>36</v>
      </c>
      <c r="L111" s="2" t="s">
        <v>736</v>
      </c>
      <c r="M111" s="2">
        <v>3.0950000000000002</v>
      </c>
      <c r="N111" s="2" t="s">
        <v>53</v>
      </c>
      <c r="O111" s="2" t="s">
        <v>54</v>
      </c>
      <c r="P111" s="2" t="s">
        <v>28</v>
      </c>
      <c r="Q111" s="2" t="s">
        <v>40</v>
      </c>
      <c r="R111" s="2" t="s">
        <v>41</v>
      </c>
      <c r="S111" s="2" t="s">
        <v>55</v>
      </c>
      <c r="T111" s="2">
        <v>40</v>
      </c>
      <c r="U111" s="2">
        <v>568</v>
      </c>
      <c r="V111" s="2" t="s">
        <v>56</v>
      </c>
      <c r="W111" s="2" t="s">
        <v>44</v>
      </c>
      <c r="X111" s="2" t="s">
        <v>45</v>
      </c>
      <c r="Y111" s="2"/>
      <c r="Z111" s="2"/>
      <c r="AA111" s="2"/>
      <c r="AB111" s="2"/>
    </row>
    <row r="112" spans="1:28">
      <c r="A112" s="2" t="s">
        <v>28</v>
      </c>
      <c r="B112" s="2" t="s">
        <v>29</v>
      </c>
      <c r="C112" s="2" t="s">
        <v>737</v>
      </c>
      <c r="D112" s="2" t="s">
        <v>738</v>
      </c>
      <c r="E112" s="2"/>
      <c r="F112" s="2" t="s">
        <v>73</v>
      </c>
      <c r="G112" s="2" t="s">
        <v>739</v>
      </c>
      <c r="H112" s="2" t="s">
        <v>740</v>
      </c>
      <c r="I112" s="2" t="s">
        <v>741</v>
      </c>
      <c r="J112" s="2" t="s">
        <v>742</v>
      </c>
      <c r="K112" s="2"/>
      <c r="L112" s="2" t="s">
        <v>743</v>
      </c>
      <c r="M112" s="2">
        <v>0.86</v>
      </c>
      <c r="N112" s="2" t="s">
        <v>38</v>
      </c>
      <c r="O112" s="2" t="s">
        <v>39</v>
      </c>
      <c r="P112" s="2" t="s">
        <v>28</v>
      </c>
      <c r="Q112" s="2" t="s">
        <v>40</v>
      </c>
      <c r="R112" s="2" t="s">
        <v>41</v>
      </c>
      <c r="S112" s="2" t="s">
        <v>42</v>
      </c>
      <c r="T112" s="2">
        <v>90</v>
      </c>
      <c r="U112" s="2">
        <v>889</v>
      </c>
      <c r="V112" s="2" t="s">
        <v>43</v>
      </c>
      <c r="W112" s="2" t="s">
        <v>44</v>
      </c>
      <c r="X112" s="2" t="s">
        <v>45</v>
      </c>
      <c r="Y112" s="2"/>
      <c r="Z112" s="2"/>
      <c r="AA112" s="2"/>
      <c r="AB1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690F-2A86-4546-9581-5E2D3C3C5442}">
  <dimension ref="A1:M112"/>
  <sheetViews>
    <sheetView workbookViewId="0">
      <selection activeCell="D12" sqref="D12"/>
    </sheetView>
  </sheetViews>
  <sheetFormatPr defaultRowHeight="15"/>
  <cols>
    <col min="1" max="1" width="9.140625" style="3"/>
    <col min="4" max="4" width="62" bestFit="1" customWidth="1"/>
    <col min="8" max="8" width="57.85546875" bestFit="1" customWidth="1"/>
    <col min="9" max="9" width="57.85546875" customWidth="1"/>
    <col min="10" max="12" width="57.5703125" customWidth="1"/>
  </cols>
  <sheetData>
    <row r="1" spans="1:13">
      <c r="D1" t="s">
        <v>744</v>
      </c>
      <c r="E1" t="s">
        <v>4</v>
      </c>
      <c r="H1" t="s">
        <v>746</v>
      </c>
      <c r="I1" t="s">
        <v>4</v>
      </c>
      <c r="J1" t="s">
        <v>747</v>
      </c>
      <c r="K1" t="s">
        <v>748</v>
      </c>
      <c r="L1" t="s">
        <v>749</v>
      </c>
      <c r="M1" t="s">
        <v>745</v>
      </c>
    </row>
    <row r="2" spans="1:13">
      <c r="A2" s="2">
        <v>83</v>
      </c>
      <c r="B2" s="3">
        <f>MAX(A2:A112)</f>
        <v>112</v>
      </c>
      <c r="D2" s="4" t="s">
        <v>31</v>
      </c>
      <c r="E2" s="2"/>
      <c r="H2" t="str">
        <f>TRIM(LOWER(D2))</f>
        <v>1344 kathryn st,hurst,tx,76053-5209,usa</v>
      </c>
      <c r="I2" t="str">
        <f>IF(TRIM(E2)="","&lt;NO_UNIT&gt;",TRIM(LOWER(E2)))</f>
        <v>&lt;NO_UNIT&gt;</v>
      </c>
      <c r="J2" t="str">
        <f>H2 &amp; "|" &amp; I2</f>
        <v>1344 kathryn st,hurst,tx,76053-5209,usa|&lt;NO_UNIT&gt;</v>
      </c>
      <c r="K2">
        <f>COUNTIF($J$2:J2, J2)</f>
        <v>1</v>
      </c>
      <c r="L2" t="str">
        <f>IF(K2=1,"FIRST STOP","DOUBLE STOP")</f>
        <v>FIRST STOP</v>
      </c>
    </row>
    <row r="3" spans="1:13">
      <c r="A3" s="2">
        <v>3</v>
      </c>
      <c r="B3" s="3">
        <f>MIN(A2:A112)</f>
        <v>1</v>
      </c>
      <c r="D3" s="2" t="s">
        <v>47</v>
      </c>
      <c r="E3" s="2"/>
      <c r="H3" t="str">
        <f>TRIM(LOWER(D3))</f>
        <v>1408 park place ave apt 234,bedford,tx,76022-5857,usa</v>
      </c>
      <c r="I3" t="str">
        <f>IF(TRIM(E3)="","&lt;NO_UNIT&gt;",TRIM(LOWER(E3)))</f>
        <v>&lt;NO_UNIT&gt;</v>
      </c>
      <c r="J3" t="str">
        <f t="shared" ref="J3:J66" si="0">H3 &amp; "|" &amp; I3</f>
        <v>1408 park place ave apt 234,bedford,tx,76022-5857,usa|&lt;NO_UNIT&gt;</v>
      </c>
      <c r="K3">
        <f>COUNTIF($J$2:J3, J3)</f>
        <v>1</v>
      </c>
      <c r="L3" t="str">
        <f t="shared" ref="L3:L66" si="1">IF(K3=1,"FIRST STOP","DOUBLE STOP")</f>
        <v>FIRST STOP</v>
      </c>
      <c r="M3">
        <f>COUNTIFS($D:$D, D3, $E:$E, E3)</f>
        <v>0</v>
      </c>
    </row>
    <row r="4" spans="1:13">
      <c r="A4" s="2">
        <v>60</v>
      </c>
      <c r="D4" s="2" t="s">
        <v>58</v>
      </c>
      <c r="E4" s="2" t="s">
        <v>59</v>
      </c>
      <c r="H4" t="str">
        <f>TRIM(LOWER(D4))</f>
        <v>531 bedford rd apt 239,bedford,tx,76022-6509,usa</v>
      </c>
      <c r="I4" t="str">
        <f>IF(TRIM(E4)="","&lt;NO_UNIT&gt;",TRIM(LOWER(E4)))</f>
        <v>239</v>
      </c>
      <c r="J4" t="str">
        <f t="shared" si="0"/>
        <v>531 bedford rd apt 239,bedford,tx,76022-6509,usa|239</v>
      </c>
      <c r="K4">
        <f>COUNTIF($J$2:J4, J4)</f>
        <v>1</v>
      </c>
      <c r="L4" t="str">
        <f t="shared" si="1"/>
        <v>FIRST STOP</v>
      </c>
      <c r="M4">
        <f>COUNTIFS($D:$D, D4, $E:$E, E4)</f>
        <v>2</v>
      </c>
    </row>
    <row r="5" spans="1:13">
      <c r="A5" s="2">
        <v>58</v>
      </c>
      <c r="D5" s="2" t="s">
        <v>65</v>
      </c>
      <c r="E5" s="2" t="s">
        <v>66</v>
      </c>
      <c r="H5" t="str">
        <f>TRIM(LOWER(D5))</f>
        <v>1220 airport fwy ste g,bedford,tx,76022-6765,usa</v>
      </c>
      <c r="I5" t="str">
        <f>IF(TRIM(E5)="","&lt;NO_UNIT&gt;",TRIM(LOWER(E5)))</f>
        <v>g</v>
      </c>
      <c r="J5" t="str">
        <f t="shared" si="0"/>
        <v>1220 airport fwy ste g,bedford,tx,76022-6765,usa|g</v>
      </c>
      <c r="K5">
        <f>COUNTIF($J$2:J5, J5)</f>
        <v>1</v>
      </c>
      <c r="L5" t="str">
        <f t="shared" si="1"/>
        <v>FIRST STOP</v>
      </c>
      <c r="M5">
        <f>COUNTIFS($D:$D, D5, $E:$E, E5)</f>
        <v>1</v>
      </c>
    </row>
    <row r="6" spans="1:13">
      <c r="A6" s="2">
        <v>91</v>
      </c>
      <c r="D6" s="2" t="s">
        <v>72</v>
      </c>
      <c r="E6" s="2"/>
      <c r="H6" t="str">
        <f>TRIM(LOWER(D6))</f>
        <v>7621 evergreen rd,richland hls,tx,76118,usa</v>
      </c>
      <c r="I6" t="str">
        <f>IF(TRIM(E6)="","&lt;NO_UNIT&gt;",TRIM(LOWER(E6)))</f>
        <v>&lt;NO_UNIT&gt;</v>
      </c>
      <c r="J6" t="str">
        <f t="shared" si="0"/>
        <v>7621 evergreen rd,richland hls,tx,76118,usa|&lt;NO_UNIT&gt;</v>
      </c>
      <c r="K6">
        <f>COUNTIF($J$2:J6, J6)</f>
        <v>1</v>
      </c>
      <c r="L6" t="str">
        <f t="shared" si="1"/>
        <v>FIRST STOP</v>
      </c>
      <c r="M6">
        <f>COUNTIFS($D:$D, D6, $E:$E, E6)</f>
        <v>0</v>
      </c>
    </row>
    <row r="7" spans="1:13">
      <c r="A7" s="2">
        <v>69</v>
      </c>
      <c r="D7" s="2" t="s">
        <v>80</v>
      </c>
      <c r="E7" s="2"/>
      <c r="H7" t="str">
        <f>TRIM(LOWER(D7))</f>
        <v>641 w cedar st,hurst,tx,76053,usa</v>
      </c>
      <c r="I7" t="str">
        <f>IF(TRIM(E7)="","&lt;NO_UNIT&gt;",TRIM(LOWER(E7)))</f>
        <v>&lt;NO_UNIT&gt;</v>
      </c>
      <c r="J7" t="str">
        <f t="shared" si="0"/>
        <v>641 w cedar st,hurst,tx,76053,usa|&lt;NO_UNIT&gt;</v>
      </c>
      <c r="K7">
        <f>COUNTIF($J$2:J7, J7)</f>
        <v>1</v>
      </c>
      <c r="L7" t="str">
        <f t="shared" si="1"/>
        <v>FIRST STOP</v>
      </c>
      <c r="M7">
        <f>COUNTIFS($D:$D, D7, $E:$E, E7)</f>
        <v>0</v>
      </c>
    </row>
    <row r="8" spans="1:13">
      <c r="A8" s="2">
        <v>66</v>
      </c>
      <c r="D8" s="2" t="s">
        <v>87</v>
      </c>
      <c r="E8" s="2"/>
      <c r="H8" t="str">
        <f>TRIM(LOWER(D8))</f>
        <v>413 keren pl,hurst,tx,76053,usa</v>
      </c>
      <c r="I8" t="str">
        <f>IF(TRIM(E8)="","&lt;NO_UNIT&gt;",TRIM(LOWER(E8)))</f>
        <v>&lt;NO_UNIT&gt;</v>
      </c>
      <c r="J8" t="str">
        <f t="shared" si="0"/>
        <v>413 keren pl,hurst,tx,76053,usa|&lt;NO_UNIT&gt;</v>
      </c>
      <c r="K8">
        <f>COUNTIF($J$2:J8, J8)</f>
        <v>1</v>
      </c>
      <c r="L8" t="str">
        <f t="shared" si="1"/>
        <v>FIRST STOP</v>
      </c>
      <c r="M8">
        <f>COUNTIFS($D:$D, D8, $E:$E, E8)</f>
        <v>0</v>
      </c>
    </row>
    <row r="9" spans="1:13">
      <c r="A9" s="2">
        <v>62</v>
      </c>
      <c r="D9" s="2" t="s">
        <v>94</v>
      </c>
      <c r="E9" s="2"/>
      <c r="H9" t="str">
        <f>TRIM(LOWER(D9))</f>
        <v>531 bedford rd 216,bedford,tx,76022-6552,usa</v>
      </c>
      <c r="I9" t="str">
        <f>IF(TRIM(E9)="","&lt;NO_UNIT&gt;",TRIM(LOWER(E9)))</f>
        <v>&lt;NO_UNIT&gt;</v>
      </c>
      <c r="J9" t="str">
        <f t="shared" si="0"/>
        <v>531 bedford rd 216,bedford,tx,76022-6552,usa|&lt;NO_UNIT&gt;</v>
      </c>
      <c r="K9">
        <f>COUNTIF($J$2:J9, J9)</f>
        <v>1</v>
      </c>
      <c r="L9" t="str">
        <f t="shared" si="1"/>
        <v>FIRST STOP</v>
      </c>
      <c r="M9">
        <f>COUNTIFS($D:$D, D9, $E:$E, E9)</f>
        <v>0</v>
      </c>
    </row>
    <row r="10" spans="1:13">
      <c r="A10" s="2">
        <v>18</v>
      </c>
      <c r="D10" s="2" t="s">
        <v>100</v>
      </c>
      <c r="E10" s="2"/>
      <c r="H10" t="str">
        <f>TRIM(LOWER(D10))</f>
        <v>600 bellaire dr,hurst,tx,76053,usa</v>
      </c>
      <c r="I10" t="str">
        <f>IF(TRIM(E10)="","&lt;NO_UNIT&gt;",TRIM(LOWER(E10)))</f>
        <v>&lt;NO_UNIT&gt;</v>
      </c>
      <c r="J10" t="str">
        <f t="shared" si="0"/>
        <v>600 bellaire dr,hurst,tx,76053,usa|&lt;NO_UNIT&gt;</v>
      </c>
      <c r="K10">
        <f>COUNTIF($J$2:J10, J10)</f>
        <v>1</v>
      </c>
      <c r="L10" t="str">
        <f t="shared" si="1"/>
        <v>FIRST STOP</v>
      </c>
      <c r="M10">
        <f>COUNTIFS($D:$D, D10, $E:$E, E10)</f>
        <v>0</v>
      </c>
    </row>
    <row r="11" spans="1:13">
      <c r="A11" s="2">
        <v>64</v>
      </c>
      <c r="D11" s="2" t="s">
        <v>106</v>
      </c>
      <c r="E11" s="2"/>
      <c r="H11" t="str">
        <f>TRIM(LOWER(D11))</f>
        <v>1433 harrison lane,hurst,tx,76053,usa</v>
      </c>
      <c r="I11" t="str">
        <f>IF(TRIM(E11)="","&lt;NO_UNIT&gt;",TRIM(LOWER(E11)))</f>
        <v>&lt;NO_UNIT&gt;</v>
      </c>
      <c r="J11" t="str">
        <f t="shared" si="0"/>
        <v>1433 harrison lane,hurst,tx,76053,usa|&lt;NO_UNIT&gt;</v>
      </c>
      <c r="K11">
        <f>COUNTIF($J$2:J11, J11)</f>
        <v>1</v>
      </c>
      <c r="L11" t="str">
        <f t="shared" si="1"/>
        <v>FIRST STOP</v>
      </c>
      <c r="M11">
        <f>COUNTIFS($D:$D, D11, $E:$E, E11)</f>
        <v>0</v>
      </c>
    </row>
    <row r="12" spans="1:13">
      <c r="A12" s="2">
        <v>72</v>
      </c>
      <c r="D12" s="2" t="s">
        <v>113</v>
      </c>
      <c r="E12" s="2"/>
      <c r="H12" t="str">
        <f>TRIM(LOWER(D12))</f>
        <v>837 wheelwood dr,hurst,tx,76053-3868,usa</v>
      </c>
      <c r="I12" t="str">
        <f>IF(TRIM(E12)="","&lt;NO_UNIT&gt;",TRIM(LOWER(E12)))</f>
        <v>&lt;NO_UNIT&gt;</v>
      </c>
      <c r="J12" t="str">
        <f t="shared" si="0"/>
        <v>837 wheelwood dr,hurst,tx,76053-3868,usa|&lt;NO_UNIT&gt;</v>
      </c>
      <c r="K12">
        <f>COUNTIF($J$2:J12, J12)</f>
        <v>1</v>
      </c>
      <c r="L12" t="str">
        <f t="shared" si="1"/>
        <v>FIRST STOP</v>
      </c>
      <c r="M12">
        <f>COUNTIFS($D:$D, D12, $E:$E, E12)</f>
        <v>0</v>
      </c>
    </row>
    <row r="13" spans="1:13">
      <c r="A13" s="2">
        <v>68</v>
      </c>
      <c r="D13" s="2" t="s">
        <v>119</v>
      </c>
      <c r="E13" s="2"/>
      <c r="H13" t="str">
        <f>TRIM(LOWER(D13))</f>
        <v>336 w cheryl ave,hurst,tx,76053,usa</v>
      </c>
      <c r="I13" t="str">
        <f>IF(TRIM(E13)="","&lt;NO_UNIT&gt;",TRIM(LOWER(E13)))</f>
        <v>&lt;NO_UNIT&gt;</v>
      </c>
      <c r="J13" t="str">
        <f t="shared" si="0"/>
        <v>336 w cheryl ave,hurst,tx,76053,usa|&lt;NO_UNIT&gt;</v>
      </c>
      <c r="K13">
        <f>COUNTIF($J$2:J13, J13)</f>
        <v>1</v>
      </c>
      <c r="L13" t="str">
        <f t="shared" si="1"/>
        <v>FIRST STOP</v>
      </c>
      <c r="M13">
        <f>COUNTIFS($D:$D, D13, $E:$E, E13)</f>
        <v>0</v>
      </c>
    </row>
    <row r="14" spans="1:13">
      <c r="A14" s="2">
        <v>112</v>
      </c>
      <c r="D14" s="2" t="s">
        <v>126</v>
      </c>
      <c r="E14" s="2" t="s">
        <v>127</v>
      </c>
      <c r="H14" t="str">
        <f>TRIM(LOWER(D14))</f>
        <v>6324 baker blvd apt h22,richland hls,tx,76118,usa</v>
      </c>
      <c r="I14" t="str">
        <f>IF(TRIM(E14)="","&lt;NO_UNIT&gt;",TRIM(LOWER(E14)))</f>
        <v>h22</v>
      </c>
      <c r="J14" t="str">
        <f t="shared" si="0"/>
        <v>6324 baker blvd apt h22,richland hls,tx,76118,usa|h22</v>
      </c>
      <c r="K14">
        <f>COUNTIF($J$2:J14, J14)</f>
        <v>1</v>
      </c>
      <c r="L14" t="str">
        <f t="shared" si="1"/>
        <v>FIRST STOP</v>
      </c>
      <c r="M14">
        <f>COUNTIFS($D:$D, D14, $E:$E, E14)</f>
        <v>1</v>
      </c>
    </row>
    <row r="15" spans="1:13">
      <c r="A15" s="2">
        <v>80</v>
      </c>
      <c r="D15" s="2" t="s">
        <v>133</v>
      </c>
      <c r="E15" s="2"/>
      <c r="H15" t="str">
        <f>TRIM(LOWER(D15))</f>
        <v>309 frazier dr,hurst,tx,76053-6371,usa</v>
      </c>
      <c r="I15" t="str">
        <f>IF(TRIM(E15)="","&lt;NO_UNIT&gt;",TRIM(LOWER(E15)))</f>
        <v>&lt;NO_UNIT&gt;</v>
      </c>
      <c r="J15" t="str">
        <f t="shared" si="0"/>
        <v>309 frazier dr,hurst,tx,76053-6371,usa|&lt;NO_UNIT&gt;</v>
      </c>
      <c r="K15">
        <f>COUNTIF($J$2:J15, J15)</f>
        <v>1</v>
      </c>
      <c r="L15" t="str">
        <f t="shared" si="1"/>
        <v>FIRST STOP</v>
      </c>
      <c r="M15">
        <f>COUNTIFS($D:$D, D15, $E:$E, E15)</f>
        <v>0</v>
      </c>
    </row>
    <row r="16" spans="1:13">
      <c r="A16" s="2">
        <v>44</v>
      </c>
      <c r="D16" s="2" t="s">
        <v>139</v>
      </c>
      <c r="E16" s="2"/>
      <c r="H16" t="str">
        <f>TRIM(LOWER(D16))</f>
        <v>419 harrison ln,hurst,tx,76053-6717,usa</v>
      </c>
      <c r="I16" t="str">
        <f>IF(TRIM(E16)="","&lt;NO_UNIT&gt;",TRIM(LOWER(E16)))</f>
        <v>&lt;NO_UNIT&gt;</v>
      </c>
      <c r="J16" t="str">
        <f t="shared" si="0"/>
        <v>419 harrison ln,hurst,tx,76053-6717,usa|&lt;NO_UNIT&gt;</v>
      </c>
      <c r="K16">
        <f>COUNTIF($J$2:J16, J16)</f>
        <v>1</v>
      </c>
      <c r="L16" t="str">
        <f t="shared" si="1"/>
        <v>FIRST STOP</v>
      </c>
      <c r="M16">
        <f>COUNTIFS($D:$D, D16, $E:$E, E16)</f>
        <v>0</v>
      </c>
    </row>
    <row r="17" spans="1:13">
      <c r="A17" s="2">
        <v>88</v>
      </c>
      <c r="D17" s="2" t="s">
        <v>145</v>
      </c>
      <c r="E17" s="2" t="s">
        <v>146</v>
      </c>
      <c r="H17" t="str">
        <f>TRIM(LOWER(D17))</f>
        <v>612 n booth caloway rd apt 1002,hurst,tx,76053,usa</v>
      </c>
      <c r="I17" t="str">
        <f>IF(TRIM(E17)="","&lt;NO_UNIT&gt;",TRIM(LOWER(E17)))</f>
        <v>1002</v>
      </c>
      <c r="J17" t="str">
        <f t="shared" si="0"/>
        <v>612 n booth caloway rd apt 1002,hurst,tx,76053,usa|1002</v>
      </c>
      <c r="K17">
        <f>COUNTIF($J$2:J17, J17)</f>
        <v>1</v>
      </c>
      <c r="L17" t="str">
        <f t="shared" si="1"/>
        <v>FIRST STOP</v>
      </c>
      <c r="M17">
        <f>COUNTIFS($D:$D, D17, $E:$E, E17)</f>
        <v>1</v>
      </c>
    </row>
    <row r="18" spans="1:13">
      <c r="A18" s="2">
        <v>41</v>
      </c>
      <c r="D18" s="2" t="s">
        <v>153</v>
      </c>
      <c r="E18" s="2" t="s">
        <v>154</v>
      </c>
      <c r="H18" t="str">
        <f>TRIM(LOWER(D18))</f>
        <v>501 w hurst blvd apt 330 ,hurst,tx,76053,usa</v>
      </c>
      <c r="I18" t="str">
        <f>IF(TRIM(E18)="","&lt;NO_UNIT&gt;",TRIM(LOWER(E18)))</f>
        <v>330</v>
      </c>
      <c r="J18" t="str">
        <f t="shared" si="0"/>
        <v>501 w hurst blvd apt 330 ,hurst,tx,76053,usa|330</v>
      </c>
      <c r="K18">
        <f>COUNTIF($J$2:J18, J18)</f>
        <v>1</v>
      </c>
      <c r="L18" t="str">
        <f t="shared" si="1"/>
        <v>FIRST STOP</v>
      </c>
      <c r="M18">
        <f>COUNTIFS($D:$D, D18, $E:$E, E18)</f>
        <v>1</v>
      </c>
    </row>
    <row r="19" spans="1:13">
      <c r="A19" s="2">
        <v>39</v>
      </c>
      <c r="D19" s="2" t="s">
        <v>160</v>
      </c>
      <c r="E19" s="2"/>
      <c r="H19" t="str">
        <f>TRIM(LOWER(D19))</f>
        <v>412 anderson dr,hurst,tx,76053,usa</v>
      </c>
      <c r="I19" t="str">
        <f>IF(TRIM(E19)="","&lt;NO_UNIT&gt;",TRIM(LOWER(E19)))</f>
        <v>&lt;NO_UNIT&gt;</v>
      </c>
      <c r="J19" t="str">
        <f t="shared" si="0"/>
        <v>412 anderson dr,hurst,tx,76053,usa|&lt;NO_UNIT&gt;</v>
      </c>
      <c r="K19">
        <f>COUNTIF($J$2:J19, J19)</f>
        <v>1</v>
      </c>
      <c r="L19" t="str">
        <f t="shared" si="1"/>
        <v>FIRST STOP</v>
      </c>
      <c r="M19">
        <f>COUNTIFS($D:$D, D19, $E:$E, E19)</f>
        <v>0</v>
      </c>
    </row>
    <row r="20" spans="1:13">
      <c r="A20" s="2">
        <v>7</v>
      </c>
      <c r="D20" s="2" t="s">
        <v>168</v>
      </c>
      <c r="E20" s="2"/>
      <c r="H20" t="str">
        <f>TRIM(LOWER(D20))</f>
        <v>1312 donna ln,bedford,tx,76022,usa</v>
      </c>
      <c r="I20" t="str">
        <f>IF(TRIM(E20)="","&lt;NO_UNIT&gt;",TRIM(LOWER(E20)))</f>
        <v>&lt;NO_UNIT&gt;</v>
      </c>
      <c r="J20" t="str">
        <f t="shared" si="0"/>
        <v>1312 donna ln,bedford,tx,76022,usa|&lt;NO_UNIT&gt;</v>
      </c>
      <c r="K20">
        <f>COUNTIF($J$2:J20, J20)</f>
        <v>1</v>
      </c>
      <c r="L20" t="str">
        <f t="shared" si="1"/>
        <v>FIRST STOP</v>
      </c>
      <c r="M20">
        <f>COUNTIFS($D:$D, D20, $E:$E, E20)</f>
        <v>0</v>
      </c>
    </row>
    <row r="21" spans="1:13">
      <c r="A21" s="2">
        <v>4</v>
      </c>
      <c r="D21" s="2" t="s">
        <v>174</v>
      </c>
      <c r="E21" s="2" t="s">
        <v>175</v>
      </c>
      <c r="H21" t="str">
        <f>TRIM(LOWER(D21))</f>
        <v>1436 park place ave apt 732 732,bedford,tx,76022-5868,usa</v>
      </c>
      <c r="I21" t="str">
        <f>IF(TRIM(E21)="","&lt;NO_UNIT&gt;",TRIM(LOWER(E21)))</f>
        <v>732</v>
      </c>
      <c r="J21" t="str">
        <f t="shared" si="0"/>
        <v>1436 park place ave apt 732 732,bedford,tx,76022-5868,usa|732</v>
      </c>
      <c r="K21">
        <f>COUNTIF($J$2:J21, J21)</f>
        <v>1</v>
      </c>
      <c r="L21" t="str">
        <f t="shared" si="1"/>
        <v>FIRST STOP</v>
      </c>
      <c r="M21">
        <f>COUNTIFS($D:$D, D21, $E:$E, E21)</f>
        <v>1</v>
      </c>
    </row>
    <row r="22" spans="1:13">
      <c r="A22" s="2">
        <v>81</v>
      </c>
      <c r="D22" s="2" t="s">
        <v>181</v>
      </c>
      <c r="E22" s="2"/>
      <c r="H22" t="str">
        <f>TRIM(LOWER(D22))</f>
        <v>1209 w redbud dr,hurst,tx,76053-5315,usa</v>
      </c>
      <c r="I22" t="str">
        <f>IF(TRIM(E22)="","&lt;NO_UNIT&gt;",TRIM(LOWER(E22)))</f>
        <v>&lt;NO_UNIT&gt;</v>
      </c>
      <c r="J22" t="str">
        <f t="shared" si="0"/>
        <v>1209 w redbud dr,hurst,tx,76053-5315,usa|&lt;NO_UNIT&gt;</v>
      </c>
      <c r="K22">
        <f>COUNTIF($J$2:J22, J22)</f>
        <v>1</v>
      </c>
      <c r="L22" t="str">
        <f t="shared" si="1"/>
        <v>FIRST STOP</v>
      </c>
      <c r="M22">
        <f>COUNTIFS($D:$D, D22, $E:$E, E22)</f>
        <v>0</v>
      </c>
    </row>
    <row r="23" spans="1:13">
      <c r="A23" s="2">
        <v>109</v>
      </c>
      <c r="D23" s="2" t="s">
        <v>187</v>
      </c>
      <c r="E23" s="2"/>
      <c r="H23" t="str">
        <f>TRIM(LOWER(D23))</f>
        <v>6601 bridges ave,richland hills,tx,76118-7208,usa</v>
      </c>
      <c r="I23" t="str">
        <f>IF(TRIM(E23)="","&lt;NO_UNIT&gt;",TRIM(LOWER(E23)))</f>
        <v>&lt;NO_UNIT&gt;</v>
      </c>
      <c r="J23" t="str">
        <f t="shared" si="0"/>
        <v>6601 bridges ave,richland hills,tx,76118-7208,usa|&lt;NO_UNIT&gt;</v>
      </c>
      <c r="K23">
        <f>COUNTIF($J$2:J23, J23)</f>
        <v>1</v>
      </c>
      <c r="L23" t="str">
        <f t="shared" si="1"/>
        <v>FIRST STOP</v>
      </c>
      <c r="M23">
        <f>COUNTIFS($D:$D, D23, $E:$E, E23)</f>
        <v>0</v>
      </c>
    </row>
    <row r="24" spans="1:13">
      <c r="A24" s="2">
        <v>45</v>
      </c>
      <c r="D24" s="2" t="s">
        <v>193</v>
      </c>
      <c r="E24" s="2"/>
      <c r="H24" t="str">
        <f>TRIM(LOWER(D24))</f>
        <v>508 holder dr,hurst,tx,76053-6838,usa</v>
      </c>
      <c r="I24" t="str">
        <f>IF(TRIM(E24)="","&lt;NO_UNIT&gt;",TRIM(LOWER(E24)))</f>
        <v>&lt;NO_UNIT&gt;</v>
      </c>
      <c r="J24" t="str">
        <f t="shared" si="0"/>
        <v>508 holder dr,hurst,tx,76053-6838,usa|&lt;NO_UNIT&gt;</v>
      </c>
      <c r="K24">
        <f>COUNTIF($J$2:J24, J24)</f>
        <v>1</v>
      </c>
      <c r="L24" t="str">
        <f t="shared" si="1"/>
        <v>FIRST STOP</v>
      </c>
      <c r="M24">
        <f>COUNTIFS($D:$D, D24, $E:$E, E24)</f>
        <v>0</v>
      </c>
    </row>
    <row r="25" spans="1:13">
      <c r="A25" s="2">
        <v>23</v>
      </c>
      <c r="D25" s="2" t="s">
        <v>199</v>
      </c>
      <c r="E25" s="2"/>
      <c r="H25" t="str">
        <f>TRIM(LOWER(D25))</f>
        <v>2928 garden bluff trail 1121,fort worth,tx,76118,usa</v>
      </c>
      <c r="I25" t="str">
        <f>IF(TRIM(E25)="","&lt;NO_UNIT&gt;",TRIM(LOWER(E25)))</f>
        <v>&lt;NO_UNIT&gt;</v>
      </c>
      <c r="J25" t="str">
        <f t="shared" si="0"/>
        <v>2928 garden bluff trail 1121,fort worth,tx,76118,usa|&lt;NO_UNIT&gt;</v>
      </c>
      <c r="K25">
        <f>COUNTIF($J$2:J25, J25)</f>
        <v>1</v>
      </c>
      <c r="L25" t="str">
        <f t="shared" si="1"/>
        <v>FIRST STOP</v>
      </c>
      <c r="M25">
        <f>COUNTIFS($D:$D, D25, $E:$E, E25)</f>
        <v>0</v>
      </c>
    </row>
    <row r="26" spans="1:13">
      <c r="A26" s="2">
        <v>107</v>
      </c>
      <c r="D26" s="2" t="s">
        <v>205</v>
      </c>
      <c r="E26" s="2"/>
      <c r="H26" t="str">
        <f>TRIM(LOWER(D26))</f>
        <v>3447 kingsbury ave,richland hls,tx,76118,usa</v>
      </c>
      <c r="I26" t="str">
        <f>IF(TRIM(E26)="","&lt;NO_UNIT&gt;",TRIM(LOWER(E26)))</f>
        <v>&lt;NO_UNIT&gt;</v>
      </c>
      <c r="J26" t="str">
        <f t="shared" si="0"/>
        <v>3447 kingsbury ave,richland hls,tx,76118,usa|&lt;NO_UNIT&gt;</v>
      </c>
      <c r="K26">
        <f>COUNTIF($J$2:J26, J26)</f>
        <v>1</v>
      </c>
      <c r="L26" t="str">
        <f t="shared" si="1"/>
        <v>FIRST STOP</v>
      </c>
      <c r="M26">
        <f>COUNTIFS($D:$D, D26, $E:$E, E26)</f>
        <v>0</v>
      </c>
    </row>
    <row r="27" spans="1:13">
      <c r="A27" s="2">
        <v>101</v>
      </c>
      <c r="D27" s="2" t="s">
        <v>211</v>
      </c>
      <c r="E27" s="2"/>
      <c r="H27" t="str">
        <f>TRIM(LOWER(D27))</f>
        <v>7445 tower st jav 4217-4,richland hills,tx,76118-6425,usa</v>
      </c>
      <c r="I27" t="str">
        <f>IF(TRIM(E27)="","&lt;NO_UNIT&gt;",TRIM(LOWER(E27)))</f>
        <v>&lt;NO_UNIT&gt;</v>
      </c>
      <c r="J27" t="str">
        <f t="shared" si="0"/>
        <v>7445 tower st jav 4217-4,richland hills,tx,76118-6425,usa|&lt;NO_UNIT&gt;</v>
      </c>
      <c r="K27">
        <f>COUNTIF($J$2:J27, J27)</f>
        <v>1</v>
      </c>
      <c r="L27" t="str">
        <f t="shared" si="1"/>
        <v>FIRST STOP</v>
      </c>
      <c r="M27">
        <f>COUNTIFS($D:$D, D27, $E:$E, E27)</f>
        <v>0</v>
      </c>
    </row>
    <row r="28" spans="1:13">
      <c r="A28" s="2">
        <v>11</v>
      </c>
      <c r="D28" s="2" t="s">
        <v>217</v>
      </c>
      <c r="E28" s="2" t="s">
        <v>218</v>
      </c>
      <c r="H28" t="str">
        <f>TRIM(LOWER(D28))</f>
        <v>3577 valley vista drive apt1207,hurst,tx,76053,usa</v>
      </c>
      <c r="I28" t="str">
        <f>IF(TRIM(E28)="","&lt;NO_UNIT&gt;",TRIM(LOWER(E28)))</f>
        <v>1207</v>
      </c>
      <c r="J28" t="str">
        <f t="shared" si="0"/>
        <v>3577 valley vista drive apt1207,hurst,tx,76053,usa|1207</v>
      </c>
      <c r="K28">
        <f>COUNTIF($J$2:J28, J28)</f>
        <v>1</v>
      </c>
      <c r="L28" t="str">
        <f t="shared" si="1"/>
        <v>FIRST STOP</v>
      </c>
      <c r="M28">
        <f>COUNTIFS($D:$D, D28, $E:$E, E28)</f>
        <v>1</v>
      </c>
    </row>
    <row r="29" spans="1:13">
      <c r="A29" s="2">
        <v>54</v>
      </c>
      <c r="D29" s="2" t="s">
        <v>224</v>
      </c>
      <c r="E29" s="2"/>
      <c r="H29" t="str">
        <f>TRIM(LOWER(D29))</f>
        <v>1213 dora st,bedford,tx,76022,usa</v>
      </c>
      <c r="I29" t="str">
        <f>IF(TRIM(E29)="","&lt;NO_UNIT&gt;",TRIM(LOWER(E29)))</f>
        <v>&lt;NO_UNIT&gt;</v>
      </c>
      <c r="J29" t="str">
        <f t="shared" si="0"/>
        <v>1213 dora st,bedford,tx,76022,usa|&lt;NO_UNIT&gt;</v>
      </c>
      <c r="K29">
        <f>COUNTIF($J$2:J29, J29)</f>
        <v>1</v>
      </c>
      <c r="L29" t="str">
        <f t="shared" si="1"/>
        <v>FIRST STOP</v>
      </c>
      <c r="M29">
        <f>COUNTIFS($D:$D, D29, $E:$E, E29)</f>
        <v>0</v>
      </c>
    </row>
    <row r="30" spans="1:13">
      <c r="A30" s="2">
        <v>40</v>
      </c>
      <c r="D30" s="2" t="s">
        <v>230</v>
      </c>
      <c r="E30" s="2"/>
      <c r="H30" t="str">
        <f>TRIM(LOWER(D30))</f>
        <v>608 woodside dr,hurst,tx,76053,usa</v>
      </c>
      <c r="I30" t="str">
        <f>IF(TRIM(E30)="","&lt;NO_UNIT&gt;",TRIM(LOWER(E30)))</f>
        <v>&lt;NO_UNIT&gt;</v>
      </c>
      <c r="J30" t="str">
        <f t="shared" si="0"/>
        <v>608 woodside dr,hurst,tx,76053,usa|&lt;NO_UNIT&gt;</v>
      </c>
      <c r="K30">
        <f>COUNTIF($J$2:J30, J30)</f>
        <v>1</v>
      </c>
      <c r="L30" t="str">
        <f t="shared" si="1"/>
        <v>FIRST STOP</v>
      </c>
      <c r="M30">
        <f>COUNTIFS($D:$D, D30, $E:$E, E30)</f>
        <v>0</v>
      </c>
    </row>
    <row r="31" spans="1:13">
      <c r="A31" s="2">
        <v>86</v>
      </c>
      <c r="D31" s="2" t="s">
        <v>236</v>
      </c>
      <c r="E31" s="2"/>
      <c r="H31" t="str">
        <f>TRIM(LOWER(D31))</f>
        <v>300 n booth calloway rd 707,hurst,tx,76053-7200,usa</v>
      </c>
      <c r="I31" t="str">
        <f>IF(TRIM(E31)="","&lt;NO_UNIT&gt;",TRIM(LOWER(E31)))</f>
        <v>&lt;NO_UNIT&gt;</v>
      </c>
      <c r="J31" t="str">
        <f t="shared" si="0"/>
        <v>300 n booth calloway rd 707,hurst,tx,76053-7200,usa|&lt;NO_UNIT&gt;</v>
      </c>
      <c r="K31">
        <f>COUNTIF($J$2:J31, J31)</f>
        <v>1</v>
      </c>
      <c r="L31" t="str">
        <f t="shared" si="1"/>
        <v>FIRST STOP</v>
      </c>
      <c r="M31">
        <f>COUNTIFS($D:$D, D31, $E:$E, E31)</f>
        <v>0</v>
      </c>
    </row>
    <row r="32" spans="1:13">
      <c r="A32" s="2">
        <v>57</v>
      </c>
      <c r="D32" s="2" t="s">
        <v>242</v>
      </c>
      <c r="E32" s="2"/>
      <c r="H32" t="str">
        <f>TRIM(LOWER(D32))</f>
        <v>1608 wade dr,bedford,tx,76022,usa</v>
      </c>
      <c r="I32" t="str">
        <f>IF(TRIM(E32)="","&lt;NO_UNIT&gt;",TRIM(LOWER(E32)))</f>
        <v>&lt;NO_UNIT&gt;</v>
      </c>
      <c r="J32" t="str">
        <f t="shared" si="0"/>
        <v>1608 wade dr,bedford,tx,76022,usa|&lt;NO_UNIT&gt;</v>
      </c>
      <c r="K32">
        <f>COUNTIF($J$2:J32, J32)</f>
        <v>1</v>
      </c>
      <c r="L32" t="str">
        <f t="shared" si="1"/>
        <v>FIRST STOP</v>
      </c>
      <c r="M32">
        <f>COUNTIFS($D:$D, D32, $E:$E, E32)</f>
        <v>0</v>
      </c>
    </row>
    <row r="33" spans="1:13">
      <c r="A33" s="2">
        <v>24</v>
      </c>
      <c r="D33" s="2" t="s">
        <v>248</v>
      </c>
      <c r="E33" s="2"/>
      <c r="H33" t="str">
        <f>TRIM(LOWER(D33))</f>
        <v>2661 stadium view dr,fort worth,tx,76118-2029,usa</v>
      </c>
      <c r="I33" t="str">
        <f>IF(TRIM(E33)="","&lt;NO_UNIT&gt;",TRIM(LOWER(E33)))</f>
        <v>&lt;NO_UNIT&gt;</v>
      </c>
      <c r="J33" t="str">
        <f t="shared" si="0"/>
        <v>2661 stadium view dr,fort worth,tx,76118-2029,usa|&lt;NO_UNIT&gt;</v>
      </c>
      <c r="K33">
        <f>COUNTIF($J$2:J33, J33)</f>
        <v>1</v>
      </c>
      <c r="L33" t="str">
        <f t="shared" si="1"/>
        <v>FIRST STOP</v>
      </c>
      <c r="M33">
        <f>COUNTIFS($D:$D, D33, $E:$E, E33)</f>
        <v>0</v>
      </c>
    </row>
    <row r="34" spans="1:13">
      <c r="A34" s="2">
        <v>10</v>
      </c>
      <c r="D34" s="2" t="s">
        <v>254</v>
      </c>
      <c r="E34" s="2"/>
      <c r="H34" t="str">
        <f>TRIM(LOWER(D34))</f>
        <v>1629 sotogrande blvd 1005,hurst,tx,76053-8128,usa</v>
      </c>
      <c r="I34" t="str">
        <f>IF(TRIM(E34)="","&lt;NO_UNIT&gt;",TRIM(LOWER(E34)))</f>
        <v>&lt;NO_UNIT&gt;</v>
      </c>
      <c r="J34" t="str">
        <f t="shared" si="0"/>
        <v>1629 sotogrande blvd 1005,hurst,tx,76053-8128,usa|&lt;NO_UNIT&gt;</v>
      </c>
      <c r="K34">
        <f>COUNTIF($J$2:J34, J34)</f>
        <v>1</v>
      </c>
      <c r="L34" t="str">
        <f t="shared" si="1"/>
        <v>FIRST STOP</v>
      </c>
      <c r="M34">
        <f>COUNTIFS($D:$D, D34, $E:$E, E34)</f>
        <v>0</v>
      </c>
    </row>
    <row r="35" spans="1:13">
      <c r="A35" s="2">
        <v>98</v>
      </c>
      <c r="D35" s="2" t="s">
        <v>260</v>
      </c>
      <c r="E35" s="2"/>
      <c r="H35" t="str">
        <f>TRIM(LOWER(D35))</f>
        <v>7445 tower st,richland hls,tx,76118,usa</v>
      </c>
      <c r="I35" t="str">
        <f>IF(TRIM(E35)="","&lt;NO_UNIT&gt;",TRIM(LOWER(E35)))</f>
        <v>&lt;NO_UNIT&gt;</v>
      </c>
      <c r="J35" t="str">
        <f t="shared" si="0"/>
        <v>7445 tower st,richland hls,tx,76118,usa|&lt;NO_UNIT&gt;</v>
      </c>
      <c r="K35">
        <f>COUNTIF($J$2:J35, J35)</f>
        <v>1</v>
      </c>
      <c r="L35" t="str">
        <f t="shared" si="1"/>
        <v>FIRST STOP</v>
      </c>
      <c r="M35">
        <f>COUNTIFS($D:$D, D35, $E:$E, E35)</f>
        <v>0</v>
      </c>
    </row>
    <row r="36" spans="1:13">
      <c r="A36" s="2">
        <v>5</v>
      </c>
      <c r="D36" s="2" t="s">
        <v>266</v>
      </c>
      <c r="E36" s="2"/>
      <c r="H36" t="str">
        <f>TRIM(LOWER(D36))</f>
        <v>2348 leafy glen ct,bedford,tx,76022,usa</v>
      </c>
      <c r="I36" t="str">
        <f>IF(TRIM(E36)="","&lt;NO_UNIT&gt;",TRIM(LOWER(E36)))</f>
        <v>&lt;NO_UNIT&gt;</v>
      </c>
      <c r="J36" t="str">
        <f t="shared" si="0"/>
        <v>2348 leafy glen ct,bedford,tx,76022,usa|&lt;NO_UNIT&gt;</v>
      </c>
      <c r="K36">
        <f>COUNTIF($J$2:J36, J36)</f>
        <v>1</v>
      </c>
      <c r="L36" t="str">
        <f t="shared" si="1"/>
        <v>FIRST STOP</v>
      </c>
      <c r="M36">
        <f>COUNTIFS($D:$D, D36, $E:$E, E36)</f>
        <v>0</v>
      </c>
    </row>
    <row r="37" spans="1:13">
      <c r="A37" s="2">
        <v>89</v>
      </c>
      <c r="D37" s="2" t="s">
        <v>272</v>
      </c>
      <c r="E37" s="2"/>
      <c r="H37" t="str">
        <f>TRIM(LOWER(D37))</f>
        <v>3811 booth calloway rd,richland hills,tx,76118-5323,usa</v>
      </c>
      <c r="I37" t="str">
        <f>IF(TRIM(E37)="","&lt;NO_UNIT&gt;",TRIM(LOWER(E37)))</f>
        <v>&lt;NO_UNIT&gt;</v>
      </c>
      <c r="J37" t="str">
        <f t="shared" si="0"/>
        <v>3811 booth calloway rd,richland hills,tx,76118-5323,usa|&lt;NO_UNIT&gt;</v>
      </c>
      <c r="K37">
        <f>COUNTIF($J$2:J37, J37)</f>
        <v>1</v>
      </c>
      <c r="L37" t="str">
        <f t="shared" si="1"/>
        <v>FIRST STOP</v>
      </c>
      <c r="M37">
        <f>COUNTIFS($D:$D, D37, $E:$E, E37)</f>
        <v>0</v>
      </c>
    </row>
    <row r="38" spans="1:13">
      <c r="A38" s="2">
        <v>104</v>
      </c>
      <c r="D38" s="2" t="s">
        <v>278</v>
      </c>
      <c r="E38" s="2"/>
      <c r="H38" t="str">
        <f>TRIM(LOWER(D38))</f>
        <v>2811 birch park dr,richland hills,tx,76118-6606,usa</v>
      </c>
      <c r="I38" t="str">
        <f>IF(TRIM(E38)="","&lt;NO_UNIT&gt;",TRIM(LOWER(E38)))</f>
        <v>&lt;NO_UNIT&gt;</v>
      </c>
      <c r="J38" t="str">
        <f t="shared" si="0"/>
        <v>2811 birch park dr,richland hills,tx,76118-6606,usa|&lt;NO_UNIT&gt;</v>
      </c>
      <c r="K38">
        <f>COUNTIF($J$2:J38, J38)</f>
        <v>1</v>
      </c>
      <c r="L38" t="str">
        <f t="shared" si="1"/>
        <v>FIRST STOP</v>
      </c>
      <c r="M38">
        <f>COUNTIFS($D:$D, D38, $E:$E, E38)</f>
        <v>0</v>
      </c>
    </row>
    <row r="39" spans="1:13">
      <c r="A39" s="2">
        <v>97</v>
      </c>
      <c r="D39" s="2" t="s">
        <v>284</v>
      </c>
      <c r="E39" s="2"/>
      <c r="H39" t="str">
        <f>TRIM(LOWER(D39))</f>
        <v>7436 evelyn drive,richland hills,tx,76118,usa</v>
      </c>
      <c r="I39" t="str">
        <f>IF(TRIM(E39)="","&lt;NO_UNIT&gt;",TRIM(LOWER(E39)))</f>
        <v>&lt;NO_UNIT&gt;</v>
      </c>
      <c r="J39" t="str">
        <f t="shared" si="0"/>
        <v>7436 evelyn drive,richland hills,tx,76118,usa|&lt;NO_UNIT&gt;</v>
      </c>
      <c r="K39">
        <f>COUNTIF($J$2:J39, J39)</f>
        <v>1</v>
      </c>
      <c r="L39" t="str">
        <f t="shared" si="1"/>
        <v>FIRST STOP</v>
      </c>
      <c r="M39">
        <f>COUNTIFS($D:$D, D39, $E:$E, E39)</f>
        <v>0</v>
      </c>
    </row>
    <row r="40" spans="1:13">
      <c r="A40" s="2">
        <v>70</v>
      </c>
      <c r="D40" s="2" t="s">
        <v>290</v>
      </c>
      <c r="E40" s="2" t="s">
        <v>291</v>
      </c>
      <c r="H40" t="str">
        <f>TRIM(LOWER(D40))</f>
        <v>1500 sylvan dr apt 119 ,hurst,tx,76053,usa</v>
      </c>
      <c r="I40" t="str">
        <f>IF(TRIM(E40)="","&lt;NO_UNIT&gt;",TRIM(LOWER(E40)))</f>
        <v>119</v>
      </c>
      <c r="J40" t="str">
        <f t="shared" si="0"/>
        <v>1500 sylvan dr apt 119 ,hurst,tx,76053,usa|119</v>
      </c>
      <c r="K40">
        <f>COUNTIF($J$2:J40, J40)</f>
        <v>1</v>
      </c>
      <c r="L40" t="str">
        <f t="shared" si="1"/>
        <v>FIRST STOP</v>
      </c>
      <c r="M40">
        <f>COUNTIFS($D:$D, D40, $E:$E, E40)</f>
        <v>1</v>
      </c>
    </row>
    <row r="41" spans="1:13">
      <c r="A41" s="2">
        <v>63</v>
      </c>
      <c r="D41" s="2" t="s">
        <v>297</v>
      </c>
      <c r="E41" s="2" t="s">
        <v>298</v>
      </c>
      <c r="H41" t="str">
        <f>TRIM(LOWER(D41))</f>
        <v>328 bedford rd apt.314,bedford,tx,76022,usa</v>
      </c>
      <c r="I41" t="str">
        <f>IF(TRIM(E41)="","&lt;NO_UNIT&gt;",TRIM(LOWER(E41)))</f>
        <v>314</v>
      </c>
      <c r="J41" t="str">
        <f t="shared" si="0"/>
        <v>328 bedford rd apt.314,bedford,tx,76022,usa|314</v>
      </c>
      <c r="K41">
        <f>COUNTIF($J$2:J41, J41)</f>
        <v>1</v>
      </c>
      <c r="L41" t="str">
        <f t="shared" si="1"/>
        <v>FIRST STOP</v>
      </c>
      <c r="M41">
        <f>COUNTIFS($D:$D, D41, $E:$E, E41)</f>
        <v>1</v>
      </c>
    </row>
    <row r="42" spans="1:13">
      <c r="A42" s="2">
        <v>36</v>
      </c>
      <c r="D42" s="2" t="s">
        <v>304</v>
      </c>
      <c r="E42" s="2"/>
      <c r="H42" t="str">
        <f>TRIM(LOWER(D42))</f>
        <v>8748 trinity vista trl,hurst,tx,76053,usa</v>
      </c>
      <c r="I42" t="str">
        <f>IF(TRIM(E42)="","&lt;NO_UNIT&gt;",TRIM(LOWER(E42)))</f>
        <v>&lt;NO_UNIT&gt;</v>
      </c>
      <c r="J42" t="str">
        <f t="shared" si="0"/>
        <v>8748 trinity vista trl,hurst,tx,76053,usa|&lt;NO_UNIT&gt;</v>
      </c>
      <c r="K42">
        <f>COUNTIF($J$2:J42, J42)</f>
        <v>1</v>
      </c>
      <c r="L42" t="str">
        <f t="shared" si="1"/>
        <v>FIRST STOP</v>
      </c>
      <c r="M42">
        <f>COUNTIFS($D:$D, D42, $E:$E, E42)</f>
        <v>0</v>
      </c>
    </row>
    <row r="43" spans="1:13">
      <c r="A43" s="2">
        <v>108</v>
      </c>
      <c r="D43" s="2" t="s">
        <v>310</v>
      </c>
      <c r="E43" s="2"/>
      <c r="H43" t="str">
        <f>TRIM(LOWER(D43))</f>
        <v>6619 bridges ave,richland hills,tx,76118-7208,usa</v>
      </c>
      <c r="I43" t="str">
        <f>IF(TRIM(E43)="","&lt;NO_UNIT&gt;",TRIM(LOWER(E43)))</f>
        <v>&lt;NO_UNIT&gt;</v>
      </c>
      <c r="J43" t="str">
        <f t="shared" si="0"/>
        <v>6619 bridges ave,richland hills,tx,76118-7208,usa|&lt;NO_UNIT&gt;</v>
      </c>
      <c r="K43">
        <f>COUNTIF($J$2:J43, J43)</f>
        <v>1</v>
      </c>
      <c r="L43" t="str">
        <f t="shared" si="1"/>
        <v>FIRST STOP</v>
      </c>
      <c r="M43">
        <f>COUNTIFS($D:$D, D43, $E:$E, E43)</f>
        <v>0</v>
      </c>
    </row>
    <row r="44" spans="1:13">
      <c r="A44" s="2">
        <v>102</v>
      </c>
      <c r="D44" s="2" t="s">
        <v>316</v>
      </c>
      <c r="E44" s="2"/>
      <c r="H44" t="str">
        <f>TRIM(LOWER(D44))</f>
        <v>7445 tower street aht916-1,richland hills,tx,76118,usa</v>
      </c>
      <c r="I44" t="str">
        <f>IF(TRIM(E44)="","&lt;NO_UNIT&gt;",TRIM(LOWER(E44)))</f>
        <v>&lt;NO_UNIT&gt;</v>
      </c>
      <c r="J44" t="str">
        <f t="shared" si="0"/>
        <v>7445 tower street aht916-1,richland hills,tx,76118,usa|&lt;NO_UNIT&gt;</v>
      </c>
      <c r="K44">
        <f>COUNTIF($J$2:J44, J44)</f>
        <v>1</v>
      </c>
      <c r="L44" t="str">
        <f t="shared" si="1"/>
        <v>FIRST STOP</v>
      </c>
      <c r="M44">
        <f>COUNTIFS($D:$D, D44, $E:$E, E44)</f>
        <v>0</v>
      </c>
    </row>
    <row r="45" spans="1:13">
      <c r="A45" s="2">
        <v>90</v>
      </c>
      <c r="D45" s="2" t="s">
        <v>322</v>
      </c>
      <c r="E45" s="2" t="s">
        <v>323</v>
      </c>
      <c r="H45" t="str">
        <f>TRIM(LOWER(D45))</f>
        <v>3808 booth calloway rd apt 709,richland hills,tx,76118-5374,usa</v>
      </c>
      <c r="I45" t="str">
        <f>IF(TRIM(E45)="","&lt;NO_UNIT&gt;",TRIM(LOWER(E45)))</f>
        <v>709</v>
      </c>
      <c r="J45" t="str">
        <f t="shared" si="0"/>
        <v>3808 booth calloway rd apt 709,richland hills,tx,76118-5374,usa|709</v>
      </c>
      <c r="K45">
        <f>COUNTIF($J$2:J45, J45)</f>
        <v>1</v>
      </c>
      <c r="L45" t="str">
        <f t="shared" si="1"/>
        <v>FIRST STOP</v>
      </c>
      <c r="M45">
        <f>COUNTIFS($D:$D, D45, $E:$E, E45)</f>
        <v>1</v>
      </c>
    </row>
    <row r="46" spans="1:13">
      <c r="A46" s="2">
        <v>32</v>
      </c>
      <c r="D46" s="2" t="s">
        <v>329</v>
      </c>
      <c r="E46" s="2"/>
      <c r="H46" t="str">
        <f>TRIM(LOWER(D46))</f>
        <v>8313 bowspirit ln,hurst,tx,76053,usa</v>
      </c>
      <c r="I46" t="str">
        <f>IF(TRIM(E46)="","&lt;NO_UNIT&gt;",TRIM(LOWER(E46)))</f>
        <v>&lt;NO_UNIT&gt;</v>
      </c>
      <c r="J46" t="str">
        <f t="shared" si="0"/>
        <v>8313 bowspirit ln,hurst,tx,76053,usa|&lt;NO_UNIT&gt;</v>
      </c>
      <c r="K46">
        <f>COUNTIF($J$2:J46, J46)</f>
        <v>1</v>
      </c>
      <c r="L46" t="str">
        <f t="shared" si="1"/>
        <v>FIRST STOP</v>
      </c>
      <c r="M46">
        <f>COUNTIFS($D:$D, D46, $E:$E, E46)</f>
        <v>0</v>
      </c>
    </row>
    <row r="47" spans="1:13">
      <c r="A47" s="2">
        <v>25</v>
      </c>
      <c r="D47" s="2" t="s">
        <v>335</v>
      </c>
      <c r="E47" s="2"/>
      <c r="H47" t="str">
        <f>TRIM(LOWER(D47))</f>
        <v>2832 concho trl,fort worth,tx,76118,usa</v>
      </c>
      <c r="I47" t="str">
        <f>IF(TRIM(E47)="","&lt;NO_UNIT&gt;",TRIM(LOWER(E47)))</f>
        <v>&lt;NO_UNIT&gt;</v>
      </c>
      <c r="J47" t="str">
        <f t="shared" si="0"/>
        <v>2832 concho trl,fort worth,tx,76118,usa|&lt;NO_UNIT&gt;</v>
      </c>
      <c r="K47">
        <f>COUNTIF($J$2:J47, J47)</f>
        <v>1</v>
      </c>
      <c r="L47" t="str">
        <f t="shared" si="1"/>
        <v>FIRST STOP</v>
      </c>
      <c r="M47">
        <f>COUNTIFS($D:$D, D47, $E:$E, E47)</f>
        <v>0</v>
      </c>
    </row>
    <row r="48" spans="1:13">
      <c r="A48" s="2">
        <v>65</v>
      </c>
      <c r="D48" s="2" t="s">
        <v>341</v>
      </c>
      <c r="E48" s="2"/>
      <c r="H48" t="str">
        <f>TRIM(LOWER(D48))</f>
        <v>200 bedford ct w,hurst,tx,76053,usa</v>
      </c>
      <c r="I48" t="str">
        <f>IF(TRIM(E48)="","&lt;NO_UNIT&gt;",TRIM(LOWER(E48)))</f>
        <v>&lt;NO_UNIT&gt;</v>
      </c>
      <c r="J48" t="str">
        <f t="shared" si="0"/>
        <v>200 bedford ct w,hurst,tx,76053,usa|&lt;NO_UNIT&gt;</v>
      </c>
      <c r="K48">
        <f>COUNTIF($J$2:J48, J48)</f>
        <v>1</v>
      </c>
      <c r="L48" t="str">
        <f t="shared" si="1"/>
        <v>FIRST STOP</v>
      </c>
      <c r="M48">
        <f>COUNTIFS($D:$D, D48, $E:$E, E48)</f>
        <v>0</v>
      </c>
    </row>
    <row r="49" spans="1:13">
      <c r="A49" s="2">
        <v>46</v>
      </c>
      <c r="D49" s="2" t="s">
        <v>347</v>
      </c>
      <c r="E49" s="2" t="s">
        <v>348</v>
      </c>
      <c r="H49" t="str">
        <f>TRIM(LOWER(D49))</f>
        <v>601 brown trl apt #215 building#3,hurst,tx,76053-5764,usa</v>
      </c>
      <c r="I49" t="str">
        <f>IF(TRIM(E49)="","&lt;NO_UNIT&gt;",TRIM(LOWER(E49)))</f>
        <v>3-215</v>
      </c>
      <c r="J49" t="str">
        <f t="shared" si="0"/>
        <v>601 brown trl apt #215 building#3,hurst,tx,76053-5764,usa|3-215</v>
      </c>
      <c r="K49">
        <f>COUNTIF($J$2:J49, J49)</f>
        <v>1</v>
      </c>
      <c r="L49" t="str">
        <f t="shared" si="1"/>
        <v>FIRST STOP</v>
      </c>
      <c r="M49">
        <f>COUNTIFS($D:$D, D49, $E:$E, E49)</f>
        <v>1</v>
      </c>
    </row>
    <row r="50" spans="1:13">
      <c r="A50" s="2">
        <v>21</v>
      </c>
      <c r="D50" s="2" t="s">
        <v>354</v>
      </c>
      <c r="E50" s="2"/>
      <c r="H50" t="str">
        <f>TRIM(LOWER(D50))</f>
        <v>612 e ellen ave,hurst,tx,76053-8007,usa</v>
      </c>
      <c r="I50" t="str">
        <f>IF(TRIM(E50)="","&lt;NO_UNIT&gt;",TRIM(LOWER(E50)))</f>
        <v>&lt;NO_UNIT&gt;</v>
      </c>
      <c r="J50" t="str">
        <f t="shared" si="0"/>
        <v>612 e ellen ave,hurst,tx,76053-8007,usa|&lt;NO_UNIT&gt;</v>
      </c>
      <c r="K50">
        <f>COUNTIF($J$2:J50, J50)</f>
        <v>1</v>
      </c>
      <c r="L50" t="str">
        <f t="shared" si="1"/>
        <v>FIRST STOP</v>
      </c>
      <c r="M50">
        <f>COUNTIFS($D:$D, D50, $E:$E, E50)</f>
        <v>0</v>
      </c>
    </row>
    <row r="51" spans="1:13">
      <c r="A51" s="2">
        <v>13</v>
      </c>
      <c r="D51" s="2" t="s">
        <v>360</v>
      </c>
      <c r="E51" s="2"/>
      <c r="H51" t="str">
        <f>TRIM(LOWER(D51))</f>
        <v>456 arwine dr,hurst,tx,76053-7018,usa</v>
      </c>
      <c r="I51" t="str">
        <f>IF(TRIM(E51)="","&lt;NO_UNIT&gt;",TRIM(LOWER(E51)))</f>
        <v>&lt;NO_UNIT&gt;</v>
      </c>
      <c r="J51" t="str">
        <f t="shared" si="0"/>
        <v>456 arwine dr,hurst,tx,76053-7018,usa|&lt;NO_UNIT&gt;</v>
      </c>
      <c r="K51">
        <f>COUNTIF($J$2:J51, J51)</f>
        <v>1</v>
      </c>
      <c r="L51" t="str">
        <f t="shared" si="1"/>
        <v>FIRST STOP</v>
      </c>
      <c r="M51">
        <f>COUNTIFS($D:$D, D51, $E:$E, E51)</f>
        <v>0</v>
      </c>
    </row>
    <row r="52" spans="1:13">
      <c r="A52" s="2">
        <v>110</v>
      </c>
      <c r="D52" s="2" t="s">
        <v>366</v>
      </c>
      <c r="E52" s="2"/>
      <c r="H52" t="str">
        <f>TRIM(LOWER(D52))</f>
        <v>6533 reeves st,richland hills,tx,76118,usa</v>
      </c>
      <c r="I52" t="str">
        <f>IF(TRIM(E52)="","&lt;NO_UNIT&gt;",TRIM(LOWER(E52)))</f>
        <v>&lt;NO_UNIT&gt;</v>
      </c>
      <c r="J52" t="str">
        <f t="shared" si="0"/>
        <v>6533 reeves st,richland hills,tx,76118,usa|&lt;NO_UNIT&gt;</v>
      </c>
      <c r="K52">
        <f>COUNTIF($J$2:J52, J52)</f>
        <v>1</v>
      </c>
      <c r="L52" t="str">
        <f t="shared" si="1"/>
        <v>FIRST STOP</v>
      </c>
      <c r="M52">
        <f>COUNTIFS($D:$D, D52, $E:$E, E52)</f>
        <v>0</v>
      </c>
    </row>
    <row r="53" spans="1:13">
      <c r="A53" s="2">
        <v>76</v>
      </c>
      <c r="D53" s="2" t="s">
        <v>373</v>
      </c>
      <c r="E53" s="2"/>
      <c r="H53" t="str">
        <f>TRIM(LOWER(D53))</f>
        <v>933 zelda dr,hurst,tx,76053,usa</v>
      </c>
      <c r="I53" t="str">
        <f>IF(TRIM(E53)="","&lt;NO_UNIT&gt;",TRIM(LOWER(E53)))</f>
        <v>&lt;NO_UNIT&gt;</v>
      </c>
      <c r="J53" t="str">
        <f t="shared" si="0"/>
        <v>933 zelda dr,hurst,tx,76053,usa|&lt;NO_UNIT&gt;</v>
      </c>
      <c r="K53">
        <f>COUNTIF($J$2:J53, J53)</f>
        <v>1</v>
      </c>
      <c r="L53" t="str">
        <f t="shared" si="1"/>
        <v>FIRST STOP</v>
      </c>
      <c r="M53">
        <f>COUNTIFS($D:$D, D53, $E:$E, E53)</f>
        <v>0</v>
      </c>
    </row>
    <row r="54" spans="1:13">
      <c r="A54" s="2">
        <v>8</v>
      </c>
      <c r="D54" s="2" t="s">
        <v>379</v>
      </c>
      <c r="E54" s="2"/>
      <c r="H54" t="str">
        <f>TRIM(LOWER(D54))</f>
        <v>1012 boston blvd,bedford,tx,76022,usa</v>
      </c>
      <c r="I54" t="str">
        <f>IF(TRIM(E54)="","&lt;NO_UNIT&gt;",TRIM(LOWER(E54)))</f>
        <v>&lt;NO_UNIT&gt;</v>
      </c>
      <c r="J54" t="str">
        <f t="shared" si="0"/>
        <v>1012 boston blvd,bedford,tx,76022,usa|&lt;NO_UNIT&gt;</v>
      </c>
      <c r="K54">
        <f>COUNTIF($J$2:J54, J54)</f>
        <v>1</v>
      </c>
      <c r="L54" t="str">
        <f t="shared" si="1"/>
        <v>FIRST STOP</v>
      </c>
      <c r="M54">
        <f>COUNTIFS($D:$D, D54, $E:$E, E54)</f>
        <v>0</v>
      </c>
    </row>
    <row r="55" spans="1:13">
      <c r="A55" s="2">
        <v>12</v>
      </c>
      <c r="D55" s="2" t="s">
        <v>385</v>
      </c>
      <c r="E55" s="2" t="s">
        <v>386</v>
      </c>
      <c r="H55" t="str">
        <f>TRIM(LOWER(D55))</f>
        <v>1850 sotogrande blvd apt 3003,hurst,tx,76053-8858,usa</v>
      </c>
      <c r="I55" t="str">
        <f>IF(TRIM(E55)="","&lt;NO_UNIT&gt;",TRIM(LOWER(E55)))</f>
        <v>3003</v>
      </c>
      <c r="J55" t="str">
        <f t="shared" si="0"/>
        <v>1850 sotogrande blvd apt 3003,hurst,tx,76053-8858,usa|3003</v>
      </c>
      <c r="K55">
        <f>COUNTIF($J$2:J55, J55)</f>
        <v>1</v>
      </c>
      <c r="L55" t="str">
        <f t="shared" si="1"/>
        <v>FIRST STOP</v>
      </c>
      <c r="M55">
        <f>COUNTIFS($D:$D, D55, $E:$E, E55)</f>
        <v>1</v>
      </c>
    </row>
    <row r="56" spans="1:13">
      <c r="A56" s="2">
        <v>22</v>
      </c>
      <c r="D56" s="2" t="s">
        <v>392</v>
      </c>
      <c r="E56" s="2"/>
      <c r="H56" t="str">
        <f>TRIM(LOWER(D56))</f>
        <v>413 e ellen ave,hurst,tx,76053-8002,usa</v>
      </c>
      <c r="I56" t="str">
        <f>IF(TRIM(E56)="","&lt;NO_UNIT&gt;",TRIM(LOWER(E56)))</f>
        <v>&lt;NO_UNIT&gt;</v>
      </c>
      <c r="J56" t="str">
        <f t="shared" si="0"/>
        <v>413 e ellen ave,hurst,tx,76053-8002,usa|&lt;NO_UNIT&gt;</v>
      </c>
      <c r="K56">
        <f>COUNTIF($J$2:J56, J56)</f>
        <v>1</v>
      </c>
      <c r="L56" t="str">
        <f t="shared" si="1"/>
        <v>FIRST STOP</v>
      </c>
      <c r="M56">
        <f>COUNTIFS($D:$D, D56, $E:$E, E56)</f>
        <v>0</v>
      </c>
    </row>
    <row r="57" spans="1:13">
      <c r="A57" s="2">
        <v>16</v>
      </c>
      <c r="D57" s="2" t="s">
        <v>398</v>
      </c>
      <c r="E57" s="2"/>
      <c r="H57" t="str">
        <f>TRIM(LOWER(D57))</f>
        <v>760 east pecan street,hurst,tx,76053,usa</v>
      </c>
      <c r="I57" t="str">
        <f>IF(TRIM(E57)="","&lt;NO_UNIT&gt;",TRIM(LOWER(E57)))</f>
        <v>&lt;NO_UNIT&gt;</v>
      </c>
      <c r="J57" t="str">
        <f t="shared" si="0"/>
        <v>760 east pecan street,hurst,tx,76053,usa|&lt;NO_UNIT&gt;</v>
      </c>
      <c r="K57">
        <f>COUNTIF($J$2:J57, J57)</f>
        <v>1</v>
      </c>
      <c r="L57" t="str">
        <f t="shared" si="1"/>
        <v>FIRST STOP</v>
      </c>
      <c r="M57">
        <f>COUNTIFS($D:$D, D57, $E:$E, E57)</f>
        <v>0</v>
      </c>
    </row>
    <row r="58" spans="1:13">
      <c r="A58" s="2">
        <v>106</v>
      </c>
      <c r="D58" s="2" t="s">
        <v>404</v>
      </c>
      <c r="E58" s="2"/>
      <c r="H58" t="str">
        <f>TRIM(LOWER(D58))</f>
        <v>3311 blue jay way,richland hills,tx,76118,usa</v>
      </c>
      <c r="I58" t="str">
        <f>IF(TRIM(E58)="","&lt;NO_UNIT&gt;",TRIM(LOWER(E58)))</f>
        <v>&lt;NO_UNIT&gt;</v>
      </c>
      <c r="J58" t="str">
        <f t="shared" si="0"/>
        <v>3311 blue jay way,richland hills,tx,76118,usa|&lt;NO_UNIT&gt;</v>
      </c>
      <c r="K58">
        <f>COUNTIF($J$2:J58, J58)</f>
        <v>1</v>
      </c>
      <c r="L58" t="str">
        <f t="shared" si="1"/>
        <v>FIRST STOP</v>
      </c>
      <c r="M58">
        <f>COUNTIFS($D:$D, D58, $E:$E, E58)</f>
        <v>0</v>
      </c>
    </row>
    <row r="59" spans="1:13">
      <c r="A59" s="2">
        <v>56</v>
      </c>
      <c r="D59" s="2" t="s">
        <v>410</v>
      </c>
      <c r="E59" s="2"/>
      <c r="H59" t="str">
        <f>TRIM(LOWER(D59))</f>
        <v>613 evandale dr,bedford,tx,76022,usa</v>
      </c>
      <c r="I59" t="str">
        <f>IF(TRIM(E59)="","&lt;NO_UNIT&gt;",TRIM(LOWER(E59)))</f>
        <v>&lt;NO_UNIT&gt;</v>
      </c>
      <c r="J59" t="str">
        <f t="shared" si="0"/>
        <v>613 evandale dr,bedford,tx,76022,usa|&lt;NO_UNIT&gt;</v>
      </c>
      <c r="K59">
        <f>COUNTIF($J$2:J59, J59)</f>
        <v>1</v>
      </c>
      <c r="L59" t="str">
        <f t="shared" si="1"/>
        <v>FIRST STOP</v>
      </c>
      <c r="M59">
        <f>COUNTIFS($D:$D, D59, $E:$E, E59)</f>
        <v>0</v>
      </c>
    </row>
    <row r="60" spans="1:13">
      <c r="A60" s="2">
        <v>61</v>
      </c>
      <c r="D60" s="2" t="s">
        <v>417</v>
      </c>
      <c r="E60" s="2" t="s">
        <v>59</v>
      </c>
      <c r="H60" t="str">
        <f>TRIM(LOWER(D60))</f>
        <v>531 bedford rd apt 239,bedford,tx,76022-6509,usa</v>
      </c>
      <c r="I60" t="str">
        <f>IF(TRIM(E60)="","&lt;NO_UNIT&gt;",TRIM(LOWER(E60)))</f>
        <v>239</v>
      </c>
      <c r="J60" t="str">
        <f t="shared" si="0"/>
        <v>531 bedford rd apt 239,bedford,tx,76022-6509,usa|239</v>
      </c>
      <c r="K60">
        <f>COUNTIF($J$2:J60, J60)</f>
        <v>2</v>
      </c>
      <c r="L60" t="str">
        <f t="shared" si="1"/>
        <v>DOUBLE STOP</v>
      </c>
      <c r="M60">
        <f>COUNTIFS($D:$D, D60, $E:$E, E60)</f>
        <v>2</v>
      </c>
    </row>
    <row r="61" spans="1:13">
      <c r="A61" s="2">
        <v>6</v>
      </c>
      <c r="D61" s="2" t="s">
        <v>424</v>
      </c>
      <c r="E61" s="2"/>
      <c r="H61" t="str">
        <f>TRIM(LOWER(D61))</f>
        <v>2016 schumac ln,bedford,tx,76022,usa</v>
      </c>
      <c r="I61" t="str">
        <f>IF(TRIM(E61)="","&lt;NO_UNIT&gt;",TRIM(LOWER(E61)))</f>
        <v>&lt;NO_UNIT&gt;</v>
      </c>
      <c r="J61" t="str">
        <f t="shared" si="0"/>
        <v>2016 schumac ln,bedford,tx,76022,usa|&lt;NO_UNIT&gt;</v>
      </c>
      <c r="K61">
        <f>COUNTIF($J$2:J61, J61)</f>
        <v>1</v>
      </c>
      <c r="L61" t="str">
        <f t="shared" si="1"/>
        <v>FIRST STOP</v>
      </c>
      <c r="M61">
        <f>COUNTIFS($D:$D, D61, $E:$E, E61)</f>
        <v>0</v>
      </c>
    </row>
    <row r="62" spans="1:13">
      <c r="A62" s="2">
        <v>78</v>
      </c>
      <c r="D62" s="2" t="s">
        <v>430</v>
      </c>
      <c r="E62" s="2"/>
      <c r="H62" t="str">
        <f>TRIM(LOWER(D62))</f>
        <v>609 ridgeline dr,hurst,tx,76053,usa</v>
      </c>
      <c r="I62" t="str">
        <f>IF(TRIM(E62)="","&lt;NO_UNIT&gt;",TRIM(LOWER(E62)))</f>
        <v>&lt;NO_UNIT&gt;</v>
      </c>
      <c r="J62" t="str">
        <f t="shared" si="0"/>
        <v>609 ridgeline dr,hurst,tx,76053,usa|&lt;NO_UNIT&gt;</v>
      </c>
      <c r="K62">
        <f>COUNTIF($J$2:J62, J62)</f>
        <v>1</v>
      </c>
      <c r="L62" t="str">
        <f t="shared" si="1"/>
        <v>FIRST STOP</v>
      </c>
      <c r="M62">
        <f>COUNTIFS($D:$D, D62, $E:$E, E62)</f>
        <v>0</v>
      </c>
    </row>
    <row r="63" spans="1:13">
      <c r="A63" s="2">
        <v>75</v>
      </c>
      <c r="D63" s="2" t="s">
        <v>436</v>
      </c>
      <c r="E63" s="2"/>
      <c r="H63" t="str">
        <f>TRIM(LOWER(D63))</f>
        <v>1220 princess ln,hurst,tx,76053,usa</v>
      </c>
      <c r="I63" t="str">
        <f>IF(TRIM(E63)="","&lt;NO_UNIT&gt;",TRIM(LOWER(E63)))</f>
        <v>&lt;NO_UNIT&gt;</v>
      </c>
      <c r="J63" t="str">
        <f t="shared" si="0"/>
        <v>1220 princess ln,hurst,tx,76053,usa|&lt;NO_UNIT&gt;</v>
      </c>
      <c r="K63">
        <f>COUNTIF($J$2:J63, J63)</f>
        <v>1</v>
      </c>
      <c r="L63" t="str">
        <f t="shared" si="1"/>
        <v>FIRST STOP</v>
      </c>
      <c r="M63">
        <f>COUNTIFS($D:$D, D63, $E:$E, E63)</f>
        <v>0</v>
      </c>
    </row>
    <row r="64" spans="1:13">
      <c r="A64" s="2">
        <v>84</v>
      </c>
      <c r="D64" s="2" t="s">
        <v>442</v>
      </c>
      <c r="E64" s="2"/>
      <c r="H64" t="str">
        <f>TRIM(LOWER(D64))</f>
        <v>3405 jonette dr,richland hills,tx,76118,usa</v>
      </c>
      <c r="I64" t="str">
        <f>IF(TRIM(E64)="","&lt;NO_UNIT&gt;",TRIM(LOWER(E64)))</f>
        <v>&lt;NO_UNIT&gt;</v>
      </c>
      <c r="J64" t="str">
        <f t="shared" si="0"/>
        <v>3405 jonette dr,richland hills,tx,76118,usa|&lt;NO_UNIT&gt;</v>
      </c>
      <c r="K64">
        <f>COUNTIF($J$2:J64, J64)</f>
        <v>1</v>
      </c>
      <c r="L64" t="str">
        <f t="shared" si="1"/>
        <v>FIRST STOP</v>
      </c>
      <c r="M64">
        <f>COUNTIFS($D:$D, D64, $E:$E, E64)</f>
        <v>0</v>
      </c>
    </row>
    <row r="65" spans="1:13">
      <c r="A65" s="2">
        <v>38</v>
      </c>
      <c r="D65" s="2" t="s">
        <v>448</v>
      </c>
      <c r="E65" s="2"/>
      <c r="H65" t="str">
        <f>TRIM(LOWER(D65))</f>
        <v>749 cullum avenue ,hurst,tx,76053,usa</v>
      </c>
      <c r="I65" t="str">
        <f>IF(TRIM(E65)="","&lt;NO_UNIT&gt;",TRIM(LOWER(E65)))</f>
        <v>&lt;NO_UNIT&gt;</v>
      </c>
      <c r="J65" t="str">
        <f t="shared" si="0"/>
        <v>749 cullum avenue ,hurst,tx,76053,usa|&lt;NO_UNIT&gt;</v>
      </c>
      <c r="K65">
        <f>COUNTIF($J$2:J65, J65)</f>
        <v>1</v>
      </c>
      <c r="L65" t="str">
        <f t="shared" si="1"/>
        <v>FIRST STOP</v>
      </c>
      <c r="M65">
        <f>COUNTIFS($D:$D, D65, $E:$E, E65)</f>
        <v>0</v>
      </c>
    </row>
    <row r="66" spans="1:13">
      <c r="A66" s="2">
        <v>49</v>
      </c>
      <c r="D66" s="2" t="s">
        <v>454</v>
      </c>
      <c r="E66" s="2"/>
      <c r="H66" t="str">
        <f>TRIM(LOWER(D66))</f>
        <v>365 e pecan st apt 174,hurst,tx,76053,usa</v>
      </c>
      <c r="I66" t="str">
        <f>IF(TRIM(E66)="","&lt;NO_UNIT&gt;",TRIM(LOWER(E66)))</f>
        <v>&lt;NO_UNIT&gt;</v>
      </c>
      <c r="J66" t="str">
        <f t="shared" si="0"/>
        <v>365 e pecan st apt 174,hurst,tx,76053,usa|&lt;NO_UNIT&gt;</v>
      </c>
      <c r="K66">
        <f>COUNTIF($J$2:J66, J66)</f>
        <v>1</v>
      </c>
      <c r="L66" t="str">
        <f t="shared" si="1"/>
        <v>FIRST STOP</v>
      </c>
      <c r="M66">
        <f>COUNTIFS($D:$D, D66, $E:$E, E66)</f>
        <v>0</v>
      </c>
    </row>
    <row r="67" spans="1:13">
      <c r="A67" s="2">
        <v>87</v>
      </c>
      <c r="D67" s="2" t="s">
        <v>460</v>
      </c>
      <c r="E67" s="2"/>
      <c r="H67" t="str">
        <f>TRIM(LOWER(D67))</f>
        <v>1604 n hills blvd 5206,hurst,tx,76053-7232,usa</v>
      </c>
      <c r="I67" t="str">
        <f>IF(TRIM(E67)="","&lt;NO_UNIT&gt;",TRIM(LOWER(E67)))</f>
        <v>&lt;NO_UNIT&gt;</v>
      </c>
      <c r="J67" t="str">
        <f t="shared" ref="J67:J112" si="2">H67 &amp; "|" &amp; I67</f>
        <v>1604 n hills blvd 5206,hurst,tx,76053-7232,usa|&lt;NO_UNIT&gt;</v>
      </c>
      <c r="K67">
        <f>COUNTIF($J$2:J67, J67)</f>
        <v>1</v>
      </c>
      <c r="L67" t="str">
        <f t="shared" ref="L67:L112" si="3">IF(K67=1,"FIRST STOP","DOUBLE STOP")</f>
        <v>FIRST STOP</v>
      </c>
      <c r="M67">
        <f>COUNTIFS($D:$D, D67, $E:$E, E67)</f>
        <v>0</v>
      </c>
    </row>
    <row r="68" spans="1:13">
      <c r="A68" s="2">
        <v>35</v>
      </c>
      <c r="D68" s="2" t="s">
        <v>466</v>
      </c>
      <c r="E68" s="2"/>
      <c r="H68" t="str">
        <f>TRIM(LOWER(D68))</f>
        <v>3228 spring crest ct ,hurst,tx,76053,usa</v>
      </c>
      <c r="I68" t="str">
        <f>IF(TRIM(E68)="","&lt;NO_UNIT&gt;",TRIM(LOWER(E68)))</f>
        <v>&lt;NO_UNIT&gt;</v>
      </c>
      <c r="J68" t="str">
        <f t="shared" si="2"/>
        <v>3228 spring crest ct ,hurst,tx,76053,usa|&lt;NO_UNIT&gt;</v>
      </c>
      <c r="K68">
        <f>COUNTIF($J$2:J68, J68)</f>
        <v>1</v>
      </c>
      <c r="L68" t="str">
        <f t="shared" si="3"/>
        <v>FIRST STOP</v>
      </c>
      <c r="M68">
        <f>COUNTIFS($D:$D, D68, $E:$E, E68)</f>
        <v>0</v>
      </c>
    </row>
    <row r="69" spans="1:13">
      <c r="A69" s="2">
        <v>29</v>
      </c>
      <c r="D69" s="2" t="s">
        <v>472</v>
      </c>
      <c r="E69" s="2"/>
      <c r="H69" t="str">
        <f>TRIM(LOWER(D69))</f>
        <v>8725 elbe trl,fort worth,tx,76118-7413,usa</v>
      </c>
      <c r="I69" t="str">
        <f>IF(TRIM(E69)="","&lt;NO_UNIT&gt;",TRIM(LOWER(E69)))</f>
        <v>&lt;NO_UNIT&gt;</v>
      </c>
      <c r="J69" t="str">
        <f t="shared" si="2"/>
        <v>8725 elbe trl,fort worth,tx,76118-7413,usa|&lt;NO_UNIT&gt;</v>
      </c>
      <c r="K69">
        <f>COUNTIF($J$2:J69, J69)</f>
        <v>1</v>
      </c>
      <c r="L69" t="str">
        <f t="shared" si="3"/>
        <v>FIRST STOP</v>
      </c>
      <c r="M69">
        <f>COUNTIFS($D:$D, D69, $E:$E, E69)</f>
        <v>0</v>
      </c>
    </row>
    <row r="70" spans="1:13">
      <c r="A70" s="2">
        <v>20</v>
      </c>
      <c r="D70" s="2" t="s">
        <v>478</v>
      </c>
      <c r="E70" s="2"/>
      <c r="H70" t="str">
        <f>TRIM(LOWER(D70))</f>
        <v>18 dorothy ln,hurst,tx,76053,usa</v>
      </c>
      <c r="I70" t="str">
        <f>IF(TRIM(E70)="","&lt;NO_UNIT&gt;",TRIM(LOWER(E70)))</f>
        <v>&lt;NO_UNIT&gt;</v>
      </c>
      <c r="J70" t="str">
        <f t="shared" si="2"/>
        <v>18 dorothy ln,hurst,tx,76053,usa|&lt;NO_UNIT&gt;</v>
      </c>
      <c r="K70">
        <f>COUNTIF($J$2:J70, J70)</f>
        <v>1</v>
      </c>
      <c r="L70" t="str">
        <f t="shared" si="3"/>
        <v>FIRST STOP</v>
      </c>
      <c r="M70">
        <f>COUNTIFS($D:$D, D70, $E:$E, E70)</f>
        <v>0</v>
      </c>
    </row>
    <row r="71" spans="1:13">
      <c r="A71" s="2">
        <v>15</v>
      </c>
      <c r="D71" s="2" t="s">
        <v>484</v>
      </c>
      <c r="E71" s="2"/>
      <c r="H71" t="str">
        <f>TRIM(LOWER(D71))</f>
        <v>768 shady ln,hurst,tx,76053,usa</v>
      </c>
      <c r="I71" t="str">
        <f>IF(TRIM(E71)="","&lt;NO_UNIT&gt;",TRIM(LOWER(E71)))</f>
        <v>&lt;NO_UNIT&gt;</v>
      </c>
      <c r="J71" t="str">
        <f t="shared" si="2"/>
        <v>768 shady ln,hurst,tx,76053,usa|&lt;NO_UNIT&gt;</v>
      </c>
      <c r="K71">
        <f>COUNTIF($J$2:J71, J71)</f>
        <v>1</v>
      </c>
      <c r="L71" t="str">
        <f t="shared" si="3"/>
        <v>FIRST STOP</v>
      </c>
      <c r="M71">
        <f>COUNTIFS($D:$D, D71, $E:$E, E71)</f>
        <v>0</v>
      </c>
    </row>
    <row r="72" spans="1:13">
      <c r="A72" s="2">
        <v>95</v>
      </c>
      <c r="D72" s="2" t="s">
        <v>490</v>
      </c>
      <c r="E72" s="2"/>
      <c r="H72" t="str">
        <f>TRIM(LOWER(D72))</f>
        <v>7240 brooks ave,richland hills,tx,76118-5838,usa</v>
      </c>
      <c r="I72" t="str">
        <f>IF(TRIM(E72)="","&lt;NO_UNIT&gt;",TRIM(LOWER(E72)))</f>
        <v>&lt;NO_UNIT&gt;</v>
      </c>
      <c r="J72" t="str">
        <f t="shared" si="2"/>
        <v>7240 brooks ave,richland hills,tx,76118-5838,usa|&lt;NO_UNIT&gt;</v>
      </c>
      <c r="K72">
        <f>COUNTIF($J$2:J72, J72)</f>
        <v>1</v>
      </c>
      <c r="L72" t="str">
        <f t="shared" si="3"/>
        <v>FIRST STOP</v>
      </c>
      <c r="M72">
        <f>COUNTIFS($D:$D, D72, $E:$E, E72)</f>
        <v>0</v>
      </c>
    </row>
    <row r="73" spans="1:13">
      <c r="A73" s="2">
        <v>67</v>
      </c>
      <c r="D73" s="2" t="s">
        <v>496</v>
      </c>
      <c r="E73" s="2"/>
      <c r="H73" t="str">
        <f>TRIM(LOWER(D73))</f>
        <v>1037 cavender dr,hurst,tx,76053-5017,usa</v>
      </c>
      <c r="I73" t="str">
        <f>IF(TRIM(E73)="","&lt;NO_UNIT&gt;",TRIM(LOWER(E73)))</f>
        <v>&lt;NO_UNIT&gt;</v>
      </c>
      <c r="J73" t="str">
        <f t="shared" si="2"/>
        <v>1037 cavender dr,hurst,tx,76053-5017,usa|&lt;NO_UNIT&gt;</v>
      </c>
      <c r="K73">
        <f>COUNTIF($J$2:J73, J73)</f>
        <v>1</v>
      </c>
      <c r="L73" t="str">
        <f t="shared" si="3"/>
        <v>FIRST STOP</v>
      </c>
      <c r="M73">
        <f>COUNTIFS($D:$D, D73, $E:$E, E73)</f>
        <v>0</v>
      </c>
    </row>
    <row r="74" spans="1:13">
      <c r="A74" s="2">
        <v>50</v>
      </c>
      <c r="D74" s="2" t="s">
        <v>502</v>
      </c>
      <c r="E74" s="2" t="s">
        <v>503</v>
      </c>
      <c r="H74" t="str">
        <f>TRIM(LOWER(D74))</f>
        <v>601 brown trl apt 346,hurst,tx,76053,usa</v>
      </c>
      <c r="I74" t="str">
        <f>IF(TRIM(E74)="","&lt;NO_UNIT&gt;",TRIM(LOWER(E74)))</f>
        <v>346</v>
      </c>
      <c r="J74" t="str">
        <f t="shared" si="2"/>
        <v>601 brown trl apt 346,hurst,tx,76053,usa|346</v>
      </c>
      <c r="K74">
        <f>COUNTIF($J$2:J74, J74)</f>
        <v>1</v>
      </c>
      <c r="L74" t="str">
        <f t="shared" si="3"/>
        <v>FIRST STOP</v>
      </c>
      <c r="M74">
        <f>COUNTIFS($D:$D, D74, $E:$E, E74)</f>
        <v>1</v>
      </c>
    </row>
    <row r="75" spans="1:13">
      <c r="A75" s="2">
        <v>47</v>
      </c>
      <c r="D75" s="2" t="s">
        <v>509</v>
      </c>
      <c r="E75" s="2" t="s">
        <v>378</v>
      </c>
      <c r="H75" t="str">
        <f>TRIM(LOWER(D75))</f>
        <v>365 e pecan st apt 8,hurst,tx,76053,usa</v>
      </c>
      <c r="I75" t="str">
        <f>IF(TRIM(E75)="","&lt;NO_UNIT&gt;",TRIM(LOWER(E75)))</f>
        <v>8</v>
      </c>
      <c r="J75" t="str">
        <f t="shared" si="2"/>
        <v>365 e pecan st apt 8,hurst,tx,76053,usa|8</v>
      </c>
      <c r="K75">
        <f>COUNTIF($J$2:J75, J75)</f>
        <v>1</v>
      </c>
      <c r="L75" t="str">
        <f t="shared" si="3"/>
        <v>FIRST STOP</v>
      </c>
      <c r="M75">
        <f>COUNTIFS($D:$D, D75, $E:$E, E75)</f>
        <v>1</v>
      </c>
    </row>
    <row r="76" spans="1:13">
      <c r="A76" s="2">
        <v>37</v>
      </c>
      <c r="D76" s="2" t="s">
        <v>515</v>
      </c>
      <c r="E76" s="2"/>
      <c r="H76" t="str">
        <f>TRIM(LOWER(D76))</f>
        <v>764 cullum ave,hurst,tx,76053-6474,usa</v>
      </c>
      <c r="I76" t="str">
        <f>IF(TRIM(E76)="","&lt;NO_UNIT&gt;",TRIM(LOWER(E76)))</f>
        <v>&lt;NO_UNIT&gt;</v>
      </c>
      <c r="J76" t="str">
        <f t="shared" si="2"/>
        <v>764 cullum ave,hurst,tx,76053-6474,usa|&lt;NO_UNIT&gt;</v>
      </c>
      <c r="K76">
        <f>COUNTIF($J$2:J76, J76)</f>
        <v>1</v>
      </c>
      <c r="L76" t="str">
        <f t="shared" si="3"/>
        <v>FIRST STOP</v>
      </c>
      <c r="M76">
        <f>COUNTIFS($D:$D, D76, $E:$E, E76)</f>
        <v>0</v>
      </c>
    </row>
    <row r="77" spans="1:13">
      <c r="A77" s="2">
        <v>79</v>
      </c>
      <c r="D77" s="2" t="s">
        <v>521</v>
      </c>
      <c r="E77" s="2"/>
      <c r="H77" t="str">
        <f>TRIM(LOWER(D77))</f>
        <v>509 holly hill drive,hurst,tx,76053,usa</v>
      </c>
      <c r="I77" t="str">
        <f>IF(TRIM(E77)="","&lt;NO_UNIT&gt;",TRIM(LOWER(E77)))</f>
        <v>&lt;NO_UNIT&gt;</v>
      </c>
      <c r="J77" t="str">
        <f t="shared" si="2"/>
        <v>509 holly hill drive,hurst,tx,76053,usa|&lt;NO_UNIT&gt;</v>
      </c>
      <c r="K77">
        <f>COUNTIF($J$2:J77, J77)</f>
        <v>1</v>
      </c>
      <c r="L77" t="str">
        <f t="shared" si="3"/>
        <v>FIRST STOP</v>
      </c>
      <c r="M77">
        <f>COUNTIFS($D:$D, D77, $E:$E, E77)</f>
        <v>0</v>
      </c>
    </row>
    <row r="78" spans="1:13">
      <c r="A78" s="2">
        <v>30</v>
      </c>
      <c r="D78" s="2" t="s">
        <v>527</v>
      </c>
      <c r="E78" s="2"/>
      <c r="H78" t="str">
        <f>TRIM(LOWER(D78))</f>
        <v>2904 genessee ct,fort worth,tx,76118,usa</v>
      </c>
      <c r="I78" t="str">
        <f>IF(TRIM(E78)="","&lt;NO_UNIT&gt;",TRIM(LOWER(E78)))</f>
        <v>&lt;NO_UNIT&gt;</v>
      </c>
      <c r="J78" t="str">
        <f t="shared" si="2"/>
        <v>2904 genessee ct,fort worth,tx,76118,usa|&lt;NO_UNIT&gt;</v>
      </c>
      <c r="K78">
        <f>COUNTIF($J$2:J78, J78)</f>
        <v>1</v>
      </c>
      <c r="L78" t="str">
        <f t="shared" si="3"/>
        <v>FIRST STOP</v>
      </c>
      <c r="M78">
        <f>COUNTIFS($D:$D, D78, $E:$E, E78)</f>
        <v>0</v>
      </c>
    </row>
    <row r="79" spans="1:13">
      <c r="A79" s="2">
        <v>19</v>
      </c>
      <c r="D79" s="2" t="s">
        <v>533</v>
      </c>
      <c r="E79" s="2" t="s">
        <v>384</v>
      </c>
      <c r="H79" t="str">
        <f>TRIM(LOWER(D79))</f>
        <v>600 bellaire dr apt 12 ,hurst,tx,76053,usa</v>
      </c>
      <c r="I79" t="str">
        <f>IF(TRIM(E79)="","&lt;NO_UNIT&gt;",TRIM(LOWER(E79)))</f>
        <v>12</v>
      </c>
      <c r="J79" t="str">
        <f t="shared" si="2"/>
        <v>600 bellaire dr apt 12 ,hurst,tx,76053,usa|12</v>
      </c>
      <c r="K79">
        <f>COUNTIF($J$2:J79, J79)</f>
        <v>1</v>
      </c>
      <c r="L79" t="str">
        <f t="shared" si="3"/>
        <v>FIRST STOP</v>
      </c>
      <c r="M79">
        <f>COUNTIFS($D:$D, D79, $E:$E, E79)</f>
        <v>1</v>
      </c>
    </row>
    <row r="80" spans="1:13">
      <c r="A80" s="2">
        <v>100</v>
      </c>
      <c r="D80" s="2" t="s">
        <v>539</v>
      </c>
      <c r="E80" s="2"/>
      <c r="H80" t="str">
        <f>TRIM(LOWER(D80))</f>
        <v>7445 tower street ,fort worth,tx,76118,usa</v>
      </c>
      <c r="I80" t="str">
        <f>IF(TRIM(E80)="","&lt;NO_UNIT&gt;",TRIM(LOWER(E80)))</f>
        <v>&lt;NO_UNIT&gt;</v>
      </c>
      <c r="J80" t="str">
        <f t="shared" si="2"/>
        <v>7445 tower street ,fort worth,tx,76118,usa|&lt;NO_UNIT&gt;</v>
      </c>
      <c r="K80">
        <f>COUNTIF($J$2:J80, J80)</f>
        <v>1</v>
      </c>
      <c r="L80" t="str">
        <f t="shared" si="3"/>
        <v>FIRST STOP</v>
      </c>
      <c r="M80">
        <f>COUNTIFS($D:$D, D80, $E:$E, E80)</f>
        <v>0</v>
      </c>
    </row>
    <row r="81" spans="1:13">
      <c r="A81" s="2">
        <v>42</v>
      </c>
      <c r="D81" s="2" t="s">
        <v>546</v>
      </c>
      <c r="E81" s="2"/>
      <c r="H81" t="str">
        <f>TRIM(LOWER(D81))</f>
        <v>501 w hurst blvd 322,hurst,tx,76053-7709,usa</v>
      </c>
      <c r="I81" t="str">
        <f>IF(TRIM(E81)="","&lt;NO_UNIT&gt;",TRIM(LOWER(E81)))</f>
        <v>&lt;NO_UNIT&gt;</v>
      </c>
      <c r="J81" t="str">
        <f t="shared" si="2"/>
        <v>501 w hurst blvd 322,hurst,tx,76053-7709,usa|&lt;NO_UNIT&gt;</v>
      </c>
      <c r="K81">
        <f>COUNTIF($J$2:J81, J81)</f>
        <v>1</v>
      </c>
      <c r="L81" t="str">
        <f t="shared" si="3"/>
        <v>FIRST STOP</v>
      </c>
      <c r="M81">
        <f>COUNTIFS($D:$D, D81, $E:$E, E81)</f>
        <v>0</v>
      </c>
    </row>
    <row r="82" spans="1:13">
      <c r="A82" s="2">
        <v>52</v>
      </c>
      <c r="D82" s="2" t="s">
        <v>552</v>
      </c>
      <c r="E82" s="2" t="s">
        <v>553</v>
      </c>
      <c r="H82" t="str">
        <f>TRIM(LOWER(D82))</f>
        <v>104 e plaza blvd apt 1077,hurst,tx,76053,usa</v>
      </c>
      <c r="I82" t="str">
        <f>IF(TRIM(E82)="","&lt;NO_UNIT&gt;",TRIM(LOWER(E82)))</f>
        <v>1077</v>
      </c>
      <c r="J82" t="str">
        <f t="shared" si="2"/>
        <v>104 e plaza blvd apt 1077,hurst,tx,76053,usa|1077</v>
      </c>
      <c r="K82">
        <f>COUNTIF($J$2:J82, J82)</f>
        <v>1</v>
      </c>
      <c r="L82" t="str">
        <f t="shared" si="3"/>
        <v>FIRST STOP</v>
      </c>
      <c r="M82">
        <f>COUNTIFS($D:$D, D82, $E:$E, E82)</f>
        <v>1</v>
      </c>
    </row>
    <row r="83" spans="1:13">
      <c r="A83" s="2">
        <v>105</v>
      </c>
      <c r="D83" s="2" t="s">
        <v>559</v>
      </c>
      <c r="E83" s="2"/>
      <c r="H83" t="str">
        <f>TRIM(LOWER(D83))</f>
        <v>3013 ash park dr,richland hills,tx,76118,usa</v>
      </c>
      <c r="I83" t="str">
        <f>IF(TRIM(E83)="","&lt;NO_UNIT&gt;",TRIM(LOWER(E83)))</f>
        <v>&lt;NO_UNIT&gt;</v>
      </c>
      <c r="J83" t="str">
        <f t="shared" si="2"/>
        <v>3013 ash park dr,richland hills,tx,76118,usa|&lt;NO_UNIT&gt;</v>
      </c>
      <c r="K83">
        <f>COUNTIF($J$2:J83, J83)</f>
        <v>1</v>
      </c>
      <c r="L83" t="str">
        <f t="shared" si="3"/>
        <v>FIRST STOP</v>
      </c>
      <c r="M83">
        <f>COUNTIFS($D:$D, D83, $E:$E, E83)</f>
        <v>0</v>
      </c>
    </row>
    <row r="84" spans="1:13">
      <c r="A84" s="2">
        <v>1</v>
      </c>
      <c r="D84" s="2" t="s">
        <v>565</v>
      </c>
      <c r="E84" s="2" t="s">
        <v>566</v>
      </c>
      <c r="H84" t="str">
        <f>TRIM(LOWER(D84))</f>
        <v>2540 central park blvd apt 1531,bedford,tx,76022-5829,usa</v>
      </c>
      <c r="I84" t="str">
        <f>IF(TRIM(E84)="","&lt;NO_UNIT&gt;",TRIM(LOWER(E84)))</f>
        <v>1531</v>
      </c>
      <c r="J84" t="str">
        <f t="shared" si="2"/>
        <v>2540 central park blvd apt 1531,bedford,tx,76022-5829,usa|1531</v>
      </c>
      <c r="K84">
        <f>COUNTIF($J$2:J84, J84)</f>
        <v>1</v>
      </c>
      <c r="L84" t="str">
        <f t="shared" si="3"/>
        <v>FIRST STOP</v>
      </c>
      <c r="M84">
        <f>COUNTIFS($D:$D, D84, $E:$E, E84)</f>
        <v>1</v>
      </c>
    </row>
    <row r="85" spans="1:13">
      <c r="A85" s="2">
        <v>9</v>
      </c>
      <c r="D85" s="2" t="s">
        <v>572</v>
      </c>
      <c r="E85" s="2"/>
      <c r="H85" t="str">
        <f>TRIM(LOWER(D85))</f>
        <v>1001 monterrey street,bedford,tx,76022,usa</v>
      </c>
      <c r="I85" t="str">
        <f>IF(TRIM(E85)="","&lt;NO_UNIT&gt;",TRIM(LOWER(E85)))</f>
        <v>&lt;NO_UNIT&gt;</v>
      </c>
      <c r="J85" t="str">
        <f t="shared" si="2"/>
        <v>1001 monterrey street,bedford,tx,76022,usa|&lt;NO_UNIT&gt;</v>
      </c>
      <c r="K85">
        <f>COUNTIF($J$2:J85, J85)</f>
        <v>1</v>
      </c>
      <c r="L85" t="str">
        <f t="shared" si="3"/>
        <v>FIRST STOP</v>
      </c>
      <c r="M85">
        <f>COUNTIFS($D:$D, D85, $E:$E, E85)</f>
        <v>0</v>
      </c>
    </row>
    <row r="86" spans="1:13">
      <c r="A86" s="2">
        <v>92</v>
      </c>
      <c r="D86" s="2" t="s">
        <v>578</v>
      </c>
      <c r="E86" s="2"/>
      <c r="H86" t="str">
        <f>TRIM(LOWER(D86))</f>
        <v>3821 granada dr,richland hills,tx,76118-5309,usa</v>
      </c>
      <c r="I86" t="str">
        <f>IF(TRIM(E86)="","&lt;NO_UNIT&gt;",TRIM(LOWER(E86)))</f>
        <v>&lt;NO_UNIT&gt;</v>
      </c>
      <c r="J86" t="str">
        <f t="shared" si="2"/>
        <v>3821 granada dr,richland hills,tx,76118-5309,usa|&lt;NO_UNIT&gt;</v>
      </c>
      <c r="K86">
        <f>COUNTIF($J$2:J86, J86)</f>
        <v>1</v>
      </c>
      <c r="L86" t="str">
        <f t="shared" si="3"/>
        <v>FIRST STOP</v>
      </c>
      <c r="M86">
        <f>COUNTIFS($D:$D, D86, $E:$E, E86)</f>
        <v>0</v>
      </c>
    </row>
    <row r="87" spans="1:13">
      <c r="A87" s="2">
        <v>55</v>
      </c>
      <c r="D87" s="2" t="s">
        <v>584</v>
      </c>
      <c r="E87" s="2"/>
      <c r="H87" t="str">
        <f>TRIM(LOWER(D87))</f>
        <v>624 merrill drive,bedford,tx,76022,usa</v>
      </c>
      <c r="I87" t="str">
        <f>IF(TRIM(E87)="","&lt;NO_UNIT&gt;",TRIM(LOWER(E87)))</f>
        <v>&lt;NO_UNIT&gt;</v>
      </c>
      <c r="J87" t="str">
        <f t="shared" si="2"/>
        <v>624 merrill drive,bedford,tx,76022,usa|&lt;NO_UNIT&gt;</v>
      </c>
      <c r="K87">
        <f>COUNTIF($J$2:J87, J87)</f>
        <v>1</v>
      </c>
      <c r="L87" t="str">
        <f t="shared" si="3"/>
        <v>FIRST STOP</v>
      </c>
      <c r="M87">
        <f>COUNTIFS($D:$D, D87, $E:$E, E87)</f>
        <v>0</v>
      </c>
    </row>
    <row r="88" spans="1:13">
      <c r="A88" s="2">
        <v>26</v>
      </c>
      <c r="D88" s="2" t="s">
        <v>590</v>
      </c>
      <c r="E88" s="2"/>
      <c r="H88" t="str">
        <f>TRIM(LOWER(D88))</f>
        <v>9028 stillwater trl,fort worth,tx,76118-7381,usa</v>
      </c>
      <c r="I88" t="str">
        <f>IF(TRIM(E88)="","&lt;NO_UNIT&gt;",TRIM(LOWER(E88)))</f>
        <v>&lt;NO_UNIT&gt;</v>
      </c>
      <c r="J88" t="str">
        <f t="shared" si="2"/>
        <v>9028 stillwater trl,fort worth,tx,76118-7381,usa|&lt;NO_UNIT&gt;</v>
      </c>
      <c r="K88">
        <f>COUNTIF($J$2:J88, J88)</f>
        <v>1</v>
      </c>
      <c r="L88" t="str">
        <f t="shared" si="3"/>
        <v>FIRST STOP</v>
      </c>
      <c r="M88">
        <f>COUNTIFS($D:$D, D88, $E:$E, E88)</f>
        <v>0</v>
      </c>
    </row>
    <row r="89" spans="1:13">
      <c r="A89" s="2">
        <v>43</v>
      </c>
      <c r="D89" s="2" t="s">
        <v>596</v>
      </c>
      <c r="E89" s="2"/>
      <c r="H89" t="str">
        <f>TRIM(LOWER(D89))</f>
        <v>109 charlene dr.,hurst,tx,76053,usa</v>
      </c>
      <c r="I89" t="str">
        <f>IF(TRIM(E89)="","&lt;NO_UNIT&gt;",TRIM(LOWER(E89)))</f>
        <v>&lt;NO_UNIT&gt;</v>
      </c>
      <c r="J89" t="str">
        <f t="shared" si="2"/>
        <v>109 charlene dr.,hurst,tx,76053,usa|&lt;NO_UNIT&gt;</v>
      </c>
      <c r="K89">
        <f>COUNTIF($J$2:J89, J89)</f>
        <v>1</v>
      </c>
      <c r="L89" t="str">
        <f t="shared" si="3"/>
        <v>FIRST STOP</v>
      </c>
      <c r="M89">
        <f>COUNTIFS($D:$D, D89, $E:$E, E89)</f>
        <v>0</v>
      </c>
    </row>
    <row r="90" spans="1:13">
      <c r="A90" s="2">
        <v>111</v>
      </c>
      <c r="D90" s="2" t="s">
        <v>602</v>
      </c>
      <c r="E90" s="2" t="s">
        <v>603</v>
      </c>
      <c r="H90" t="str">
        <f>TRIM(LOWER(D90))</f>
        <v>6324 baker blvd apt d14,richland hills,tx,76118,usa</v>
      </c>
      <c r="I90" t="str">
        <f>IF(TRIM(E90)="","&lt;NO_UNIT&gt;",TRIM(LOWER(E90)))</f>
        <v>d14</v>
      </c>
      <c r="J90" t="str">
        <f t="shared" si="2"/>
        <v>6324 baker blvd apt d14,richland hills,tx,76118,usa|d14</v>
      </c>
      <c r="K90">
        <f>COUNTIF($J$2:J90, J90)</f>
        <v>1</v>
      </c>
      <c r="L90" t="str">
        <f t="shared" si="3"/>
        <v>FIRST STOP</v>
      </c>
      <c r="M90">
        <f>COUNTIFS($D:$D, D90, $E:$E, E90)</f>
        <v>1</v>
      </c>
    </row>
    <row r="91" spans="1:13">
      <c r="A91" s="2">
        <v>74</v>
      </c>
      <c r="D91" s="2" t="s">
        <v>609</v>
      </c>
      <c r="E91" s="2" t="s">
        <v>610</v>
      </c>
      <c r="H91" t="str">
        <f>TRIM(LOWER(D91))</f>
        <v>825 w bedford euless rd apt 261,hurst,tx,76053-3897,usa</v>
      </c>
      <c r="I91" t="str">
        <f>IF(TRIM(E91)="","&lt;NO_UNIT&gt;",TRIM(LOWER(E91)))</f>
        <v>261</v>
      </c>
      <c r="J91" t="str">
        <f t="shared" si="2"/>
        <v>825 w bedford euless rd apt 261,hurst,tx,76053-3897,usa|261</v>
      </c>
      <c r="K91">
        <f>COUNTIF($J$2:J91, J91)</f>
        <v>1</v>
      </c>
      <c r="L91" t="str">
        <f t="shared" si="3"/>
        <v>FIRST STOP</v>
      </c>
      <c r="M91">
        <f>COUNTIFS($D:$D, D91, $E:$E, E91)</f>
        <v>1</v>
      </c>
    </row>
    <row r="92" spans="1:13">
      <c r="A92" s="2">
        <v>28</v>
      </c>
      <c r="D92" s="2" t="s">
        <v>616</v>
      </c>
      <c r="E92" s="2"/>
      <c r="H92" t="str">
        <f>TRIM(LOWER(D92))</f>
        <v>8808 tyne trl,fort worth,tx,76118,usa</v>
      </c>
      <c r="I92" t="str">
        <f>IF(TRIM(E92)="","&lt;NO_UNIT&gt;",TRIM(LOWER(E92)))</f>
        <v>&lt;NO_UNIT&gt;</v>
      </c>
      <c r="J92" t="str">
        <f t="shared" si="2"/>
        <v>8808 tyne trl,fort worth,tx,76118,usa|&lt;NO_UNIT&gt;</v>
      </c>
      <c r="K92">
        <f>COUNTIF($J$2:J92, J92)</f>
        <v>1</v>
      </c>
      <c r="L92" t="str">
        <f t="shared" si="3"/>
        <v>FIRST STOP</v>
      </c>
      <c r="M92">
        <f>COUNTIFS($D:$D, D92, $E:$E, E92)</f>
        <v>0</v>
      </c>
    </row>
    <row r="93" spans="1:13">
      <c r="A93" s="2">
        <v>59</v>
      </c>
      <c r="D93" s="2" t="s">
        <v>622</v>
      </c>
      <c r="E93" s="2" t="s">
        <v>623</v>
      </c>
      <c r="H93" t="str">
        <f>TRIM(LOWER(D93))</f>
        <v>1424 brown trl ste a,bedford,tx,76022-6400,usa</v>
      </c>
      <c r="I93" t="str">
        <f>IF(TRIM(E93)="","&lt;NO_UNIT&gt;",TRIM(LOWER(E93)))</f>
        <v>a</v>
      </c>
      <c r="J93" t="str">
        <f t="shared" si="2"/>
        <v>1424 brown trl ste a,bedford,tx,76022-6400,usa|a</v>
      </c>
      <c r="K93">
        <f>COUNTIF($J$2:J93, J93)</f>
        <v>1</v>
      </c>
      <c r="L93" t="str">
        <f t="shared" si="3"/>
        <v>FIRST STOP</v>
      </c>
      <c r="M93">
        <f>COUNTIFS($D:$D, D93, $E:$E, E93)</f>
        <v>1</v>
      </c>
    </row>
    <row r="94" spans="1:13">
      <c r="A94" s="2">
        <v>27</v>
      </c>
      <c r="D94" s="2" t="s">
        <v>590</v>
      </c>
      <c r="E94" s="2"/>
      <c r="H94" t="str">
        <f>TRIM(LOWER(D94))</f>
        <v>9028 stillwater trl,fort worth,tx,76118-7381,usa</v>
      </c>
      <c r="I94" t="str">
        <f>IF(TRIM(E94)="","&lt;NO_UNIT&gt;",TRIM(LOWER(E94)))</f>
        <v>&lt;NO_UNIT&gt;</v>
      </c>
      <c r="J94" t="str">
        <f t="shared" si="2"/>
        <v>9028 stillwater trl,fort worth,tx,76118-7381,usa|&lt;NO_UNIT&gt;</v>
      </c>
      <c r="K94">
        <f>COUNTIF($J$2:J94, J94)</f>
        <v>2</v>
      </c>
      <c r="L94" t="str">
        <f t="shared" si="3"/>
        <v>DOUBLE STOP</v>
      </c>
      <c r="M94">
        <f>COUNTIFS($D:$D, D94, $E:$E, E94)</f>
        <v>0</v>
      </c>
    </row>
    <row r="95" spans="1:13">
      <c r="A95" s="2">
        <v>31</v>
      </c>
      <c r="D95" s="2" t="s">
        <v>634</v>
      </c>
      <c r="E95" s="2"/>
      <c r="H95" t="str">
        <f>TRIM(LOWER(D95))</f>
        <v>8448 bowspirit ln,hurst,tx,76053-7425,usa</v>
      </c>
      <c r="I95" t="str">
        <f>IF(TRIM(E95)="","&lt;NO_UNIT&gt;",TRIM(LOWER(E95)))</f>
        <v>&lt;NO_UNIT&gt;</v>
      </c>
      <c r="J95" t="str">
        <f t="shared" si="2"/>
        <v>8448 bowspirit ln,hurst,tx,76053-7425,usa|&lt;NO_UNIT&gt;</v>
      </c>
      <c r="K95">
        <f>COUNTIF($J$2:J95, J95)</f>
        <v>1</v>
      </c>
      <c r="L95" t="str">
        <f t="shared" si="3"/>
        <v>FIRST STOP</v>
      </c>
      <c r="M95">
        <f>COUNTIFS($D:$D, D95, $E:$E, E95)</f>
        <v>0</v>
      </c>
    </row>
    <row r="96" spans="1:13">
      <c r="A96" s="2">
        <v>2</v>
      </c>
      <c r="D96" s="2" t="s">
        <v>641</v>
      </c>
      <c r="E96" s="2" t="s">
        <v>642</v>
      </c>
      <c r="H96" t="str">
        <f>TRIM(LOWER(D96))</f>
        <v>2713 parkview ln apt 523,bedford,tx,76022,usa</v>
      </c>
      <c r="I96" t="str">
        <f>IF(TRIM(E96)="","&lt;NO_UNIT&gt;",TRIM(LOWER(E96)))</f>
        <v>523</v>
      </c>
      <c r="J96" t="str">
        <f t="shared" si="2"/>
        <v>2713 parkview ln apt 523,bedford,tx,76022,usa|523</v>
      </c>
      <c r="K96">
        <f>COUNTIF($J$2:J96, J96)</f>
        <v>1</v>
      </c>
      <c r="L96" t="str">
        <f t="shared" si="3"/>
        <v>FIRST STOP</v>
      </c>
      <c r="M96">
        <f>COUNTIFS($D:$D, D96, $E:$E, E96)</f>
        <v>1</v>
      </c>
    </row>
    <row r="97" spans="1:13">
      <c r="A97" s="2">
        <v>82</v>
      </c>
      <c r="D97" s="2" t="s">
        <v>648</v>
      </c>
      <c r="E97" s="2"/>
      <c r="H97" t="str">
        <f>TRIM(LOWER(D97))</f>
        <v>332 belmont st,hurst,tx,76053,usa</v>
      </c>
      <c r="I97" t="str">
        <f>IF(TRIM(E97)="","&lt;NO_UNIT&gt;",TRIM(LOWER(E97)))</f>
        <v>&lt;NO_UNIT&gt;</v>
      </c>
      <c r="J97" t="str">
        <f t="shared" si="2"/>
        <v>332 belmont st,hurst,tx,76053,usa|&lt;NO_UNIT&gt;</v>
      </c>
      <c r="K97">
        <f>COUNTIF($J$2:J97, J97)</f>
        <v>1</v>
      </c>
      <c r="L97" t="str">
        <f t="shared" si="3"/>
        <v>FIRST STOP</v>
      </c>
      <c r="M97">
        <f>COUNTIFS($D:$D, D97, $E:$E, E97)</f>
        <v>0</v>
      </c>
    </row>
    <row r="98" spans="1:13">
      <c r="A98" s="2">
        <v>73</v>
      </c>
      <c r="D98" s="2" t="s">
        <v>654</v>
      </c>
      <c r="E98" s="2"/>
      <c r="H98" t="str">
        <f>TRIM(LOWER(D98))</f>
        <v>824 west bedford euless rd,hurst,tx,76053,usa</v>
      </c>
      <c r="I98" t="str">
        <f>IF(TRIM(E98)="","&lt;NO_UNIT&gt;",TRIM(LOWER(E98)))</f>
        <v>&lt;NO_UNIT&gt;</v>
      </c>
      <c r="J98" t="str">
        <f t="shared" si="2"/>
        <v>824 west bedford euless rd,hurst,tx,76053,usa|&lt;NO_UNIT&gt;</v>
      </c>
      <c r="K98">
        <f>COUNTIF($J$2:J98, J98)</f>
        <v>1</v>
      </c>
      <c r="L98" t="str">
        <f t="shared" si="3"/>
        <v>FIRST STOP</v>
      </c>
      <c r="M98">
        <f>COUNTIFS($D:$D, D98, $E:$E, E98)</f>
        <v>0</v>
      </c>
    </row>
    <row r="99" spans="1:13">
      <c r="A99" s="2">
        <v>53</v>
      </c>
      <c r="D99" s="2" t="s">
        <v>660</v>
      </c>
      <c r="E99" s="2"/>
      <c r="H99" t="str">
        <f>TRIM(LOWER(D99))</f>
        <v>344 patricia ln,bedford,tx,76022,usa</v>
      </c>
      <c r="I99" t="str">
        <f>IF(TRIM(E99)="","&lt;NO_UNIT&gt;",TRIM(LOWER(E99)))</f>
        <v>&lt;NO_UNIT&gt;</v>
      </c>
      <c r="J99" t="str">
        <f t="shared" si="2"/>
        <v>344 patricia ln,bedford,tx,76022,usa|&lt;NO_UNIT&gt;</v>
      </c>
      <c r="K99">
        <f>COUNTIF($J$2:J99, J99)</f>
        <v>1</v>
      </c>
      <c r="L99" t="str">
        <f t="shared" si="3"/>
        <v>FIRST STOP</v>
      </c>
      <c r="M99">
        <f>COUNTIFS($D:$D, D99, $E:$E, E99)</f>
        <v>0</v>
      </c>
    </row>
    <row r="100" spans="1:13">
      <c r="A100" s="2">
        <v>33</v>
      </c>
      <c r="D100" s="2" t="s">
        <v>666</v>
      </c>
      <c r="E100" s="2"/>
      <c r="H100" t="str">
        <f>TRIM(LOWER(D100))</f>
        <v>3021 trinity lakes dr,hurst,tx,76053-7458,usa</v>
      </c>
      <c r="I100" t="str">
        <f>IF(TRIM(E100)="","&lt;NO_UNIT&gt;",TRIM(LOWER(E100)))</f>
        <v>&lt;NO_UNIT&gt;</v>
      </c>
      <c r="J100" t="str">
        <f t="shared" si="2"/>
        <v>3021 trinity lakes dr,hurst,tx,76053-7458,usa|&lt;NO_UNIT&gt;</v>
      </c>
      <c r="K100">
        <f>COUNTIF($J$2:J100, J100)</f>
        <v>1</v>
      </c>
      <c r="L100" t="str">
        <f t="shared" si="3"/>
        <v>FIRST STOP</v>
      </c>
      <c r="M100">
        <f>COUNTIFS($D:$D, D100, $E:$E, E100)</f>
        <v>0</v>
      </c>
    </row>
    <row r="101" spans="1:13">
      <c r="A101" s="2">
        <v>85</v>
      </c>
      <c r="D101" s="2" t="s">
        <v>672</v>
      </c>
      <c r="E101" s="2" t="s">
        <v>673</v>
      </c>
      <c r="H101" t="str">
        <f>TRIM(LOWER(D101))</f>
        <v>300 n booth caloway rd apt 305,hurst,tx,76053,usa</v>
      </c>
      <c r="I101" t="str">
        <f>IF(TRIM(E101)="","&lt;NO_UNIT&gt;",TRIM(LOWER(E101)))</f>
        <v>305</v>
      </c>
      <c r="J101" t="str">
        <f t="shared" si="2"/>
        <v>300 n booth caloway rd apt 305,hurst,tx,76053,usa|305</v>
      </c>
      <c r="K101">
        <f>COUNTIF($J$2:J101, J101)</f>
        <v>1</v>
      </c>
      <c r="L101" t="str">
        <f t="shared" si="3"/>
        <v>FIRST STOP</v>
      </c>
      <c r="M101">
        <f>COUNTIFS($D:$D, D101, $E:$E, E101)</f>
        <v>1</v>
      </c>
    </row>
    <row r="102" spans="1:13">
      <c r="A102" s="2">
        <v>34</v>
      </c>
      <c r="D102" s="2" t="s">
        <v>679</v>
      </c>
      <c r="E102" s="2"/>
      <c r="H102" t="str">
        <f>TRIM(LOWER(D102))</f>
        <v>8365 edgepoint trl,hurst,tx,76053-7448,usa</v>
      </c>
      <c r="I102" t="str">
        <f>IF(TRIM(E102)="","&lt;NO_UNIT&gt;",TRIM(LOWER(E102)))</f>
        <v>&lt;NO_UNIT&gt;</v>
      </c>
      <c r="J102" t="str">
        <f t="shared" si="2"/>
        <v>8365 edgepoint trl,hurst,tx,76053-7448,usa|&lt;NO_UNIT&gt;</v>
      </c>
      <c r="K102">
        <f>COUNTIF($J$2:J102, J102)</f>
        <v>1</v>
      </c>
      <c r="L102" t="str">
        <f t="shared" si="3"/>
        <v>FIRST STOP</v>
      </c>
      <c r="M102">
        <f>COUNTIFS($D:$D, D102, $E:$E, E102)</f>
        <v>0</v>
      </c>
    </row>
    <row r="103" spans="1:13">
      <c r="A103" s="2">
        <v>17</v>
      </c>
      <c r="D103" s="2" t="s">
        <v>685</v>
      </c>
      <c r="E103" s="2" t="s">
        <v>686</v>
      </c>
      <c r="H103" t="str">
        <f>TRIM(LOWER(D103))</f>
        <v>781. e. pecan st apt 155,hurst,tx,76053,usa</v>
      </c>
      <c r="I103" t="str">
        <f>IF(TRIM(E103)="","&lt;NO_UNIT&gt;",TRIM(LOWER(E103)))</f>
        <v>155</v>
      </c>
      <c r="J103" t="str">
        <f t="shared" si="2"/>
        <v>781. e. pecan st apt 155,hurst,tx,76053,usa|155</v>
      </c>
      <c r="K103">
        <f>COUNTIF($J$2:J103, J103)</f>
        <v>1</v>
      </c>
      <c r="L103" t="str">
        <f t="shared" si="3"/>
        <v>FIRST STOP</v>
      </c>
      <c r="M103">
        <f>COUNTIFS($D:$D, D103, $E:$E, E103)</f>
        <v>1</v>
      </c>
    </row>
    <row r="104" spans="1:13">
      <c r="A104" s="2">
        <v>77</v>
      </c>
      <c r="D104" s="2" t="s">
        <v>692</v>
      </c>
      <c r="E104" s="2"/>
      <c r="H104" t="str">
        <f>TRIM(LOWER(D104))</f>
        <v>610 timberline dr,hurst,tx,76053-4735,usa</v>
      </c>
      <c r="I104" t="str">
        <f>IF(TRIM(E104)="","&lt;NO_UNIT&gt;",TRIM(LOWER(E104)))</f>
        <v>&lt;NO_UNIT&gt;</v>
      </c>
      <c r="J104" t="str">
        <f t="shared" si="2"/>
        <v>610 timberline dr,hurst,tx,76053-4735,usa|&lt;NO_UNIT&gt;</v>
      </c>
      <c r="K104">
        <f>COUNTIF($J$2:J104, J104)</f>
        <v>1</v>
      </c>
      <c r="L104" t="str">
        <f t="shared" si="3"/>
        <v>FIRST STOP</v>
      </c>
      <c r="M104">
        <f>COUNTIFS($D:$D, D104, $E:$E, E104)</f>
        <v>0</v>
      </c>
    </row>
    <row r="105" spans="1:13">
      <c r="A105" s="2">
        <v>99</v>
      </c>
      <c r="D105" s="2" t="s">
        <v>698</v>
      </c>
      <c r="E105" s="2"/>
      <c r="H105" t="str">
        <f>TRIM(LOWER(D105))</f>
        <v>7445 tower st lyc 3122,richland hills,tx,76118-6425,usa</v>
      </c>
      <c r="I105" t="str">
        <f>IF(TRIM(E105)="","&lt;NO_UNIT&gt;",TRIM(LOWER(E105)))</f>
        <v>&lt;NO_UNIT&gt;</v>
      </c>
      <c r="J105" t="str">
        <f t="shared" si="2"/>
        <v>7445 tower st lyc 3122,richland hills,tx,76118-6425,usa|&lt;NO_UNIT&gt;</v>
      </c>
      <c r="K105">
        <f>COUNTIF($J$2:J105, J105)</f>
        <v>1</v>
      </c>
      <c r="L105" t="str">
        <f t="shared" si="3"/>
        <v>FIRST STOP</v>
      </c>
      <c r="M105">
        <f>COUNTIFS($D:$D, D105, $E:$E, E105)</f>
        <v>0</v>
      </c>
    </row>
    <row r="106" spans="1:13">
      <c r="A106" s="2">
        <v>94</v>
      </c>
      <c r="D106" s="2" t="s">
        <v>704</v>
      </c>
      <c r="E106" s="2"/>
      <c r="H106" t="str">
        <f>TRIM(LOWER(D106))</f>
        <v>3662 popplewell st,richland hills,tx,76118-5114,usa</v>
      </c>
      <c r="I106" t="str">
        <f>IF(TRIM(E106)="","&lt;NO_UNIT&gt;",TRIM(LOWER(E106)))</f>
        <v>&lt;NO_UNIT&gt;</v>
      </c>
      <c r="J106" t="str">
        <f t="shared" si="2"/>
        <v>3662 popplewell st,richland hills,tx,76118-5114,usa|&lt;NO_UNIT&gt;</v>
      </c>
      <c r="K106">
        <f>COUNTIF($J$2:J106, J106)</f>
        <v>1</v>
      </c>
      <c r="L106" t="str">
        <f t="shared" si="3"/>
        <v>FIRST STOP</v>
      </c>
      <c r="M106">
        <f>COUNTIFS($D:$D, D106, $E:$E, E106)</f>
        <v>0</v>
      </c>
    </row>
    <row r="107" spans="1:13">
      <c r="A107" s="2">
        <v>48</v>
      </c>
      <c r="D107" s="2" t="s">
        <v>710</v>
      </c>
      <c r="E107" s="2" t="s">
        <v>711</v>
      </c>
      <c r="H107" t="str">
        <f>TRIM(LOWER(D107))</f>
        <v>365 e pecan st apt 165 ,hurst,tx,76053,usa</v>
      </c>
      <c r="I107" t="str">
        <f>IF(TRIM(E107)="","&lt;NO_UNIT&gt;",TRIM(LOWER(E107)))</f>
        <v>165</v>
      </c>
      <c r="J107" t="str">
        <f t="shared" si="2"/>
        <v>365 e pecan st apt 165 ,hurst,tx,76053,usa|165</v>
      </c>
      <c r="K107">
        <f>COUNTIF($J$2:J107, J107)</f>
        <v>1</v>
      </c>
      <c r="L107" t="str">
        <f t="shared" si="3"/>
        <v>FIRST STOP</v>
      </c>
      <c r="M107">
        <f>COUNTIFS($D:$D, D107, $E:$E, E107)</f>
        <v>1</v>
      </c>
    </row>
    <row r="108" spans="1:13">
      <c r="A108" s="2">
        <v>93</v>
      </c>
      <c r="D108" s="2" t="s">
        <v>717</v>
      </c>
      <c r="E108" s="2"/>
      <c r="H108" t="str">
        <f>TRIM(LOWER(D108))</f>
        <v>7126 booth pl,richland hills,tx,76118,usa</v>
      </c>
      <c r="I108" t="str">
        <f>IF(TRIM(E108)="","&lt;NO_UNIT&gt;",TRIM(LOWER(E108)))</f>
        <v>&lt;NO_UNIT&gt;</v>
      </c>
      <c r="J108" t="str">
        <f t="shared" si="2"/>
        <v>7126 booth pl,richland hills,tx,76118,usa|&lt;NO_UNIT&gt;</v>
      </c>
      <c r="K108">
        <f>COUNTIF($J$2:J108, J108)</f>
        <v>1</v>
      </c>
      <c r="L108" t="str">
        <f t="shared" si="3"/>
        <v>FIRST STOP</v>
      </c>
      <c r="M108">
        <f>COUNTIFS($D:$D, D108, $E:$E, E108)</f>
        <v>0</v>
      </c>
    </row>
    <row r="109" spans="1:13">
      <c r="A109" s="2">
        <v>14</v>
      </c>
      <c r="D109" s="2" t="s">
        <v>484</v>
      </c>
      <c r="E109" s="2"/>
      <c r="H109" t="str">
        <f>TRIM(LOWER(D109))</f>
        <v>768 shady ln,hurst,tx,76053,usa</v>
      </c>
      <c r="I109" t="str">
        <f>IF(TRIM(E109)="","&lt;NO_UNIT&gt;",TRIM(LOWER(E109)))</f>
        <v>&lt;NO_UNIT&gt;</v>
      </c>
      <c r="J109" t="str">
        <f t="shared" si="2"/>
        <v>768 shady ln,hurst,tx,76053,usa|&lt;NO_UNIT&gt;</v>
      </c>
      <c r="K109">
        <f>COUNTIF($J$2:J109, J109)</f>
        <v>2</v>
      </c>
      <c r="L109" t="str">
        <f t="shared" si="3"/>
        <v>DOUBLE STOP</v>
      </c>
      <c r="M109">
        <f>COUNTIFS($D:$D, D109, $E:$E, E109)</f>
        <v>0</v>
      </c>
    </row>
    <row r="110" spans="1:13">
      <c r="A110" s="2">
        <v>51</v>
      </c>
      <c r="D110" s="2" t="s">
        <v>726</v>
      </c>
      <c r="E110" s="2"/>
      <c r="H110" t="str">
        <f>TRIM(LOWER(D110))</f>
        <v>228 oak dr e,hurst,tx,76053,usa</v>
      </c>
      <c r="I110" t="str">
        <f>IF(TRIM(E110)="","&lt;NO_UNIT&gt;",TRIM(LOWER(E110)))</f>
        <v>&lt;NO_UNIT&gt;</v>
      </c>
      <c r="J110" t="str">
        <f t="shared" si="2"/>
        <v>228 oak dr e,hurst,tx,76053,usa|&lt;NO_UNIT&gt;</v>
      </c>
      <c r="K110">
        <f>COUNTIF($J$2:J110, J110)</f>
        <v>1</v>
      </c>
      <c r="L110" t="str">
        <f t="shared" si="3"/>
        <v>FIRST STOP</v>
      </c>
      <c r="M110">
        <f>COUNTIFS($D:$D, D110, $E:$E, E110)</f>
        <v>0</v>
      </c>
    </row>
    <row r="111" spans="1:13">
      <c r="A111" s="2">
        <v>103</v>
      </c>
      <c r="D111" s="2" t="s">
        <v>732</v>
      </c>
      <c r="E111" s="2"/>
      <c r="H111" t="str">
        <f>TRIM(LOWER(D111))</f>
        <v>7135 oak park dr,richland hills,tx,76118-6428,usa</v>
      </c>
      <c r="I111" t="str">
        <f>IF(TRIM(E111)="","&lt;NO_UNIT&gt;",TRIM(LOWER(E111)))</f>
        <v>&lt;NO_UNIT&gt;</v>
      </c>
      <c r="J111" t="str">
        <f t="shared" si="2"/>
        <v>7135 oak park dr,richland hills,tx,76118-6428,usa|&lt;NO_UNIT&gt;</v>
      </c>
      <c r="K111">
        <f>COUNTIF($J$2:J111, J111)</f>
        <v>1</v>
      </c>
      <c r="L111" t="str">
        <f t="shared" si="3"/>
        <v>FIRST STOP</v>
      </c>
      <c r="M111">
        <f>COUNTIFS($D:$D, D111, $E:$E, E111)</f>
        <v>0</v>
      </c>
    </row>
    <row r="112" spans="1:13">
      <c r="A112" s="2">
        <v>96</v>
      </c>
      <c r="D112" s="2" t="s">
        <v>738</v>
      </c>
      <c r="E112" s="2"/>
      <c r="H112" t="str">
        <f>TRIM(LOWER(D112))</f>
        <v>7428 evelyn dr,richland hills,tx,76118-5933,usa</v>
      </c>
      <c r="I112" t="str">
        <f>IF(TRIM(E112)="","&lt;NO_UNIT&gt;",TRIM(LOWER(E112)))</f>
        <v>&lt;NO_UNIT&gt;</v>
      </c>
      <c r="J112" t="str">
        <f t="shared" si="2"/>
        <v>7428 evelyn dr,richland hills,tx,76118-5933,usa|&lt;NO_UNIT&gt;</v>
      </c>
      <c r="K112">
        <f>COUNTIF($J$2:J112, J112)</f>
        <v>1</v>
      </c>
      <c r="L112" t="str">
        <f t="shared" si="3"/>
        <v>FIRST STOP</v>
      </c>
      <c r="M112">
        <f>COUNTIFS($D:$D, D112, $E:$E, E112)</f>
        <v>0</v>
      </c>
    </row>
  </sheetData>
  <autoFilter ref="H1:M112" xr:uid="{A4A9690F-2A86-4546-9581-5E2D3C3C54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 Krishna</dc:creator>
  <cp:lastModifiedBy>Yadhu Krishna</cp:lastModifiedBy>
  <dcterms:created xsi:type="dcterms:W3CDTF">2026-01-02T12:38:10Z</dcterms:created>
  <dcterms:modified xsi:type="dcterms:W3CDTF">2026-01-02T14:12:52Z</dcterms:modified>
</cp:coreProperties>
</file>